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ur\Desktop\3rd SEM\General college\"/>
    </mc:Choice>
  </mc:AlternateContent>
  <xr:revisionPtr revIDLastSave="0" documentId="13_ncr:1_{82091581-6F17-4116-9130-22F87C4DE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6" r:id="rId1"/>
    <sheet name="Monthly Planner" sheetId="5" r:id="rId2"/>
    <sheet name="Main Database" sheetId="1" r:id="rId3"/>
    <sheet name="Non-Working Days" sheetId="3" r:id="rId4"/>
    <sheet name="Events" sheetId="4" r:id="rId5"/>
    <sheet name="Setting sheet" sheetId="2" r:id="rId6"/>
  </sheets>
  <definedNames>
    <definedName name="MonthList">'Setting sheet'!$E$3:$E$8</definedName>
    <definedName name="nrSemesterEnd">'Setting sheet'!$C$4</definedName>
    <definedName name="nrsemesterstart">'Setting sheet'!$C$3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O5" i="6" s="1" a="1"/>
  <c r="O5" i="6" s="1"/>
  <c r="B4" i="1" a="1"/>
  <c r="G4" i="6" l="1"/>
  <c r="E4" i="6"/>
  <c r="D4" i="6"/>
  <c r="B4" i="1"/>
  <c r="AC2" i="6" s="1" a="1"/>
  <c r="AC2" i="6" s="1"/>
  <c r="H4" i="1" a="1"/>
  <c r="H4" i="1" s="1"/>
  <c r="F4" i="1" a="1"/>
  <c r="G4" i="1" a="1"/>
  <c r="G4" i="1" s="1"/>
  <c r="D4" i="1" a="1"/>
  <c r="C4" i="1" a="1"/>
  <c r="F4" i="1" l="1"/>
  <c r="H14" i="6" a="1"/>
  <c r="H14" i="6" s="1"/>
  <c r="D4" i="1"/>
  <c r="C4" i="6" a="1"/>
  <c r="C4" i="6" s="1"/>
  <c r="C4" i="1"/>
  <c r="E4" i="1" s="1" a="1"/>
  <c r="D14" i="6" s="1" a="1"/>
  <c r="D14" i="6" s="1"/>
  <c r="AE1" i="6" s="1"/>
  <c r="AE2" i="6" s="1"/>
  <c r="E20" i="6" l="1" a="1"/>
  <c r="E20" i="6" s="1"/>
  <c r="E4" i="1"/>
  <c r="E15" i="5" l="1" a="1"/>
  <c r="E15" i="5" l="1"/>
  <c r="O17" i="5" s="1" a="1"/>
  <c r="O17" i="5" s="1"/>
  <c r="O18" i="5" a="1"/>
  <c r="O18" i="5" s="1"/>
  <c r="O16" i="5" a="1"/>
  <c r="O16" i="5" s="1"/>
  <c r="O19" i="5" a="1"/>
  <c r="O19" i="5" s="1"/>
  <c r="E7" i="5" l="1" a="1"/>
  <c r="E7" i="5" s="1"/>
  <c r="O1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<sst xmlns="http://schemas.openxmlformats.org/spreadsheetml/2006/main" count="125" uniqueCount="74">
  <si>
    <t>Date</t>
  </si>
  <si>
    <t>Day</t>
  </si>
  <si>
    <t>Holiday Name</t>
  </si>
  <si>
    <t xml:space="preserve">Event Type </t>
  </si>
  <si>
    <t>Event Name</t>
  </si>
  <si>
    <t>Semester End</t>
  </si>
  <si>
    <t>Semester Start</t>
  </si>
  <si>
    <t>Setting</t>
  </si>
  <si>
    <t>Value</t>
  </si>
  <si>
    <t>Semester Week</t>
  </si>
  <si>
    <t>Is Working day</t>
  </si>
  <si>
    <t>Independence Day</t>
  </si>
  <si>
    <t>Maharishi Valmiki Birthday</t>
  </si>
  <si>
    <t>Janmashtami</t>
  </si>
  <si>
    <t>Diwali</t>
  </si>
  <si>
    <t>Mahatma Gandhi's Birthday</t>
  </si>
  <si>
    <t>Birthday of Shri Guru Nanak Dev Ji</t>
  </si>
  <si>
    <t>Dussehra</t>
  </si>
  <si>
    <t>Christmas</t>
  </si>
  <si>
    <t>Name</t>
  </si>
  <si>
    <t>Mid-Semester Break Day 1</t>
  </si>
  <si>
    <t>Mid-Semester Break Day 2</t>
  </si>
  <si>
    <t>Mid-Semester Break Day 3</t>
  </si>
  <si>
    <t>Mid-Semester Break Day 4</t>
  </si>
  <si>
    <t>Mid-Semester Break Day 5</t>
  </si>
  <si>
    <t>Mid-Semester Break Day 6</t>
  </si>
  <si>
    <t>Pre-Winter Break Day1</t>
  </si>
  <si>
    <t>Pre-Winter Break Day2</t>
  </si>
  <si>
    <t>Pre-Winter Break Day3</t>
  </si>
  <si>
    <t>Pre-Winter Break Day4</t>
  </si>
  <si>
    <t>Pre-Winter Break Day5</t>
  </si>
  <si>
    <t>DATE</t>
  </si>
  <si>
    <t>Mid-Sem Exams</t>
  </si>
  <si>
    <t>Pecfest Day 1</t>
  </si>
  <si>
    <t>Pecfest Day 2</t>
  </si>
  <si>
    <t>Pecfest Day 3</t>
  </si>
  <si>
    <t>End-Sem Exams</t>
  </si>
  <si>
    <t>Event Type</t>
  </si>
  <si>
    <t>Exam</t>
  </si>
  <si>
    <t>Fest</t>
  </si>
  <si>
    <t>Mon</t>
  </si>
  <si>
    <t>Tue</t>
  </si>
  <si>
    <t>Wed</t>
  </si>
  <si>
    <t>Thu</t>
  </si>
  <si>
    <t>Fri</t>
  </si>
  <si>
    <t>Sat</t>
  </si>
  <si>
    <t>Sun</t>
  </si>
  <si>
    <t>Calendar View</t>
  </si>
  <si>
    <t>Monthly Overview</t>
  </si>
  <si>
    <t>Total Days</t>
  </si>
  <si>
    <t>Working Days</t>
  </si>
  <si>
    <t>Weekends</t>
  </si>
  <si>
    <t>Holidays</t>
  </si>
  <si>
    <t>Events</t>
  </si>
  <si>
    <t>Months</t>
  </si>
  <si>
    <t>July</t>
  </si>
  <si>
    <t>August</t>
  </si>
  <si>
    <t>September</t>
  </si>
  <si>
    <t>October</t>
  </si>
  <si>
    <t>November</t>
  </si>
  <si>
    <t>December</t>
  </si>
  <si>
    <t>Month Number</t>
  </si>
  <si>
    <t xml:space="preserve">Select Month </t>
  </si>
  <si>
    <t>Today</t>
  </si>
  <si>
    <t>Current Week</t>
  </si>
  <si>
    <t>Mid-Sem Break</t>
  </si>
  <si>
    <t>Winter Break</t>
  </si>
  <si>
    <t>Semester Progress</t>
  </si>
  <si>
    <t>Upcoming Holidays</t>
  </si>
  <si>
    <t xml:space="preserve">Holiday </t>
  </si>
  <si>
    <t>Select Month</t>
  </si>
  <si>
    <t>Working</t>
  </si>
  <si>
    <t>Non-Working</t>
  </si>
  <si>
    <t>Days Until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</si>
</sst>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[$-F800]dddd\,\ mmmm\ dd\,\ yyyy"/>
    <numFmt numFmtId="166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8" tint="-0.499984740745262"/>
      <name val="Arial Black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14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14" fontId="1" fillId="2" borderId="4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3" borderId="1" xfId="0" applyNumberFormat="1" applyFill="1" applyBorder="1"/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7" xfId="0" applyBorder="1"/>
    <xf numFmtId="165" fontId="3" fillId="0" borderId="0" xfId="0" applyNumberFormat="1" applyFont="1" applyAlignment="1">
      <alignment horizontal="center" vertical="center" wrapText="1"/>
    </xf>
    <xf numFmtId="14" fontId="6" fillId="0" borderId="0" xfId="0" applyNumberFormat="1" applyFont="1"/>
    <xf numFmtId="0" fontId="6" fillId="0" borderId="0" xfId="0" applyFont="1"/>
    <xf numFmtId="1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6" fillId="8" borderId="7" xfId="0" applyFont="1" applyFill="1" applyBorder="1"/>
    <xf numFmtId="0" fontId="6" fillId="14" borderId="7" xfId="0" applyFont="1" applyFill="1" applyBorder="1"/>
    <xf numFmtId="0" fontId="10" fillId="5" borderId="7" xfId="0" applyFont="1" applyFill="1" applyBorder="1" applyAlignment="1">
      <alignment horizontal="left" vertical="center" wrapText="1"/>
    </xf>
    <xf numFmtId="0" fontId="10" fillId="15" borderId="7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11" fillId="12" borderId="13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9" fillId="8" borderId="7" xfId="0" applyFont="1" applyFill="1" applyBorder="1"/>
    <xf numFmtId="0" fontId="9" fillId="0" borderId="0" xfId="0" applyFont="1"/>
    <xf numFmtId="0" fontId="9" fillId="10" borderId="7" xfId="0" applyFont="1" applyFill="1" applyBorder="1"/>
    <xf numFmtId="15" fontId="9" fillId="9" borderId="7" xfId="0" applyNumberFormat="1" applyFont="1" applyFill="1" applyBorder="1"/>
    <xf numFmtId="0" fontId="5" fillId="0" borderId="0" xfId="0" applyFont="1"/>
    <xf numFmtId="16" fontId="5" fillId="0" borderId="0" xfId="0" applyNumberFormat="1" applyFont="1"/>
    <xf numFmtId="0" fontId="0" fillId="0" borderId="0" xfId="0" applyFont="1" applyFill="1" applyBorder="1"/>
    <xf numFmtId="0" fontId="12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64" fontId="6" fillId="13" borderId="7" xfId="0" applyNumberFormat="1" applyFont="1" applyFill="1" applyBorder="1"/>
    <xf numFmtId="0" fontId="6" fillId="13" borderId="7" xfId="0" applyFont="1" applyFill="1" applyBorder="1"/>
    <xf numFmtId="0" fontId="10" fillId="5" borderId="18" xfId="0" applyFont="1" applyFill="1" applyBorder="1" applyAlignment="1">
      <alignment horizontal="left" vertical="center" wrapText="1"/>
    </xf>
    <xf numFmtId="0" fontId="10" fillId="5" borderId="19" xfId="0" applyFont="1" applyFill="1" applyBorder="1" applyAlignment="1">
      <alignment horizontal="left" vertical="center" wrapText="1"/>
    </xf>
    <xf numFmtId="0" fontId="10" fillId="5" borderId="20" xfId="0" applyFont="1" applyFill="1" applyBorder="1" applyAlignment="1">
      <alignment horizontal="left" vertical="center" wrapText="1"/>
    </xf>
    <xf numFmtId="0" fontId="10" fillId="5" borderId="21" xfId="0" applyFont="1" applyFill="1" applyBorder="1" applyAlignment="1">
      <alignment horizontal="left" vertical="center" wrapText="1"/>
    </xf>
    <xf numFmtId="0" fontId="14" fillId="19" borderId="18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14" fillId="19" borderId="19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0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14" fillId="19" borderId="20" xfId="0" applyFont="1" applyFill="1" applyBorder="1" applyAlignment="1">
      <alignment horizontal="center" vertical="center"/>
    </xf>
    <xf numFmtId="0" fontId="14" fillId="19" borderId="8" xfId="0" applyFont="1" applyFill="1" applyBorder="1" applyAlignment="1">
      <alignment horizontal="center" vertical="center"/>
    </xf>
    <xf numFmtId="0" fontId="14" fillId="19" borderId="21" xfId="0" applyFont="1" applyFill="1" applyBorder="1" applyAlignment="1">
      <alignment horizontal="center" vertical="center"/>
    </xf>
    <xf numFmtId="0" fontId="10" fillId="15" borderId="7" xfId="0" applyFont="1" applyFill="1" applyBorder="1"/>
    <xf numFmtId="14" fontId="10" fillId="15" borderId="7" xfId="0" applyNumberFormat="1" applyFont="1" applyFill="1" applyBorder="1"/>
    <xf numFmtId="0" fontId="10" fillId="16" borderId="7" xfId="0" applyFont="1" applyFill="1" applyBorder="1"/>
    <xf numFmtId="0" fontId="10" fillId="5" borderId="9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16" borderId="10" xfId="0" applyFont="1" applyFill="1" applyBorder="1" applyAlignment="1">
      <alignment horizontal="center"/>
    </xf>
    <xf numFmtId="0" fontId="10" fillId="16" borderId="11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0" fontId="0" fillId="20" borderId="0" xfId="0" applyFill="1" applyAlignment="1"/>
    <xf numFmtId="0" fontId="0" fillId="0" borderId="0" xfId="0" applyFill="1" applyAlignment="1"/>
    <xf numFmtId="0" fontId="0" fillId="0" borderId="0" xfId="0" applyFill="1"/>
    <xf numFmtId="0" fontId="10" fillId="18" borderId="18" xfId="0" applyFont="1" applyFill="1" applyBorder="1" applyAlignment="1">
      <alignment horizontal="center" vertical="center"/>
    </xf>
    <xf numFmtId="0" fontId="10" fillId="18" borderId="19" xfId="0" applyFont="1" applyFill="1" applyBorder="1" applyAlignment="1">
      <alignment horizontal="center" vertical="center"/>
    </xf>
    <xf numFmtId="0" fontId="10" fillId="18" borderId="20" xfId="0" applyFont="1" applyFill="1" applyBorder="1" applyAlignment="1">
      <alignment horizontal="center" vertical="center"/>
    </xf>
    <xf numFmtId="0" fontId="10" fillId="18" borderId="21" xfId="0" applyFont="1" applyFill="1" applyBorder="1" applyAlignment="1">
      <alignment horizontal="center" vertical="center"/>
    </xf>
    <xf numFmtId="0" fontId="10" fillId="18" borderId="17" xfId="0" applyFont="1" applyFill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/>
    </xf>
    <xf numFmtId="0" fontId="15" fillId="17" borderId="0" xfId="0" applyFont="1" applyFill="1" applyAlignment="1">
      <alignment horizontal="center"/>
    </xf>
    <xf numFmtId="166" fontId="13" fillId="7" borderId="0" xfId="0" applyNumberFormat="1" applyFont="1" applyFill="1" applyAlignment="1">
      <alignment horizontal="center" vertical="center"/>
    </xf>
    <xf numFmtId="166" fontId="13" fillId="7" borderId="16" xfId="0" applyNumberFormat="1" applyFont="1" applyFill="1" applyBorder="1" applyAlignment="1">
      <alignment horizontal="center" vertical="center"/>
    </xf>
    <xf numFmtId="14" fontId="10" fillId="9" borderId="9" xfId="0" applyNumberFormat="1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14" fontId="10" fillId="9" borderId="23" xfId="0" applyNumberFormat="1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wrapText="1"/>
    </xf>
    <xf numFmtId="165" fontId="6" fillId="0" borderId="7" xfId="0" applyNumberFormat="1" applyFont="1" applyBorder="1"/>
  </cellXfs>
  <cellStyles count="1">
    <cellStyle name="Normal" xfId="0" builtinId="0"/>
  </cellStyles>
  <dxfs count="13">
    <dxf>
      <border>
        <left/>
        <right/>
        <top/>
        <bottom style="thin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1" formatCode="dd/mmm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1" formatCode="dd/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0C0C0"/>
      <color rgb="FFFFFF99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07849956255468"/>
          <c:y val="0.16708333333333336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E06-4935-8ED2-0C7EC3B5BE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06-4935-8ED2-0C7EC3B5BE32}"/>
              </c:ext>
            </c:extLst>
          </c:dPt>
          <c:dLbls>
            <c:dLbl>
              <c:idx val="0"/>
              <c:layout>
                <c:manualLayout>
                  <c:x val="0.17874798365340275"/>
                  <c:y val="0.121150539315304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20202185131286"/>
                      <c:h val="0.13721191762391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E06-4935-8ED2-0C7EC3B5BE32}"/>
                </c:ext>
              </c:extLst>
            </c:dLbl>
            <c:dLbl>
              <c:idx val="1"/>
              <c:layout>
                <c:manualLayout>
                  <c:x val="-0.19620333254414682"/>
                  <c:y val="-3.0394125458766883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98116936659989"/>
                      <c:h val="0.144592870696744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E06-4935-8ED2-0C7EC3B5BE3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DASHBOARD!$AD$1:$AD$2</c:f>
              <c:strCache>
                <c:ptCount val="2"/>
                <c:pt idx="0">
                  <c:v>Working</c:v>
                </c:pt>
                <c:pt idx="1">
                  <c:v>Non-Working</c:v>
                </c:pt>
              </c:strCache>
            </c:strRef>
          </c:cat>
          <c:val>
            <c:numRef>
              <c:f>DASHBOARD!$AE$1:$AE$2</c:f>
              <c:numCache>
                <c:formatCode>General</c:formatCode>
                <c:ptCount val="2"/>
                <c:pt idx="0">
                  <c:v>21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6-4935-8ED2-0C7EC3B5BE3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r"/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215193</xdr:colOff>
      <xdr:row>8</xdr:row>
      <xdr:rowOff>7761</xdr:rowOff>
    </xdr:from>
    <xdr:to>
      <xdr:col>18</xdr:col>
      <xdr:colOff>200526</xdr:colOff>
      <xdr:row>27</xdr:row>
      <xdr:rowOff>160420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35B1C3-58E5-2F2F-2B8A-D0223B21E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832184</xdr:colOff>
      <xdr:row>16</xdr:row>
      <xdr:rowOff>70184</xdr:rowOff>
    </xdr:from>
    <xdr:to>
      <xdr:col>15</xdr:col>
      <xdr:colOff>872289</xdr:colOff>
      <xdr:row>18</xdr:row>
      <xdr:rowOff>100261</xdr:rowOff>
    </xdr:to>
    <xdr:sp macro="" textlink="DASHBOARD!D9">
      <xdr:nvSpPr>
        <xdr:cNvPr id="4" name="TextBox 3">
          <a:extLst>
            <a:ext uri="{FF2B5EF4-FFF2-40B4-BE49-F238E27FC236}">
              <a16:creationId xmlns:a16="http://schemas.microsoft.com/office/drawing/2014/main" id="{B8C8386E-5BBC-4EEF-72B8-CF90F20EDF07}"/>
            </a:ext>
          </a:extLst>
        </xdr:cNvPr>
        <xdr:cNvSpPr txBox="1"/>
      </xdr:nvSpPr>
      <xdr:spPr>
        <a:xfrm>
          <a:off x="10196763" y="3950368"/>
          <a:ext cx="1163052" cy="39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57027A3-57C3-4A6E-BA78-A72F7863E476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August</a:t>
          </a:fld>
          <a:endParaRPr lang="en-IN" sz="1400" b="1"/>
        </a:p>
      </xdr:txBody>
    </xdr:sp>
    <xdr:clientData/>
  </xdr:twoCellAnchor>
  <xdr:twoCellAnchor>
    <xdr:from>
      <xdr:col>2</xdr:col>
      <xdr:colOff>434340</xdr:colOff>
      <xdr:row>9</xdr:row>
      <xdr:rowOff>15240</xdr:rowOff>
    </xdr:from>
    <xdr:to>
      <xdr:col>2</xdr:col>
      <xdr:colOff>906780</xdr:colOff>
      <xdr:row>9</xdr:row>
      <xdr:rowOff>15240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172F4D8-E2D4-6328-B81D-0BA936080D1D}"/>
            </a:ext>
          </a:extLst>
        </xdr:cNvPr>
        <xdr:cNvCxnSpPr/>
      </xdr:nvCxnSpPr>
      <xdr:spPr>
        <a:xfrm>
          <a:off x="1851660" y="2270760"/>
          <a:ext cx="47244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1210235</xdr:colOff>
      <xdr:row>5</xdr:row>
      <xdr:rowOff>8965</xdr:rowOff>
    </xdr:from>
    <xdr:to>
      <xdr:col>1</xdr:col>
      <xdr:colOff>1730188</xdr:colOff>
      <xdr:row>5</xdr:row>
      <xdr:rowOff>8965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49BE2C3-BA4E-50C9-41BA-06A2FDB77C93}"/>
            </a:ext>
          </a:extLst>
        </xdr:cNvPr>
        <xdr:cNvCxnSpPr/>
      </xdr:nvCxnSpPr>
      <xdr:spPr>
        <a:xfrm>
          <a:off x="1819835" y="1013012"/>
          <a:ext cx="519953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EA422-3748-4B17-9CE7-D865E4C14C5A}" name="TblNonWorkingDays" displayName="TblNonWorkingDays" ref="B2:C21" totalsRowShown="0" headerRowDxfId="12">
  <autoFilter ref="B2:C21" xr:uid="{36CEA422-3748-4B17-9CE7-D865E4C14C5A}"/>
  <tableColumns count="2">
    <tableColumn id="1" xr3:uid="{83E65183-2EF1-4EF3-91CB-8C3DEDB74029}" name="Name" dataDxfId="11"/>
    <tableColumn id="2" xr3:uid="{1C11108A-1D73-4AAE-AD66-CFD064046809}" name="Da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C4BCD7-4A68-4326-928F-00614B5F0534}" name="TblEvents" displayName="TblEvents" ref="B2:D23" totalsRowShown="0" headerRowDxfId="5" dataDxfId="1">
  <autoFilter ref="B2:D23" xr:uid="{6BC4BCD7-4A68-4326-928F-00614B5F0534}"/>
  <tableColumns count="3">
    <tableColumn id="1" xr3:uid="{C15CB589-5C26-431A-A773-3F5EB261F170}" name="DATE" dataDxfId="4"/>
    <tableColumn id="2" xr3:uid="{A1163651-B530-462C-92DC-4728F1E829EA}" name="Event Name" dataDxfId="3"/>
    <tableColumn id="3" xr3:uid="{233987C9-22FD-4B19-8FD5-C953FD3BE47A}" name="Event Typ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B957DB-0DB7-447A-ABE9-F3F4C2FCACCD}" name="TblMonth" displayName="TblMonth" ref="E2:F8" totalsRowShown="0" headerRowDxfId="7" dataDxfId="6">
  <autoFilter ref="E2:F8" xr:uid="{66B957DB-0DB7-447A-ABE9-F3F4C2FCACCD}"/>
  <tableColumns count="2">
    <tableColumn id="1" xr3:uid="{A4EE997C-437D-4107-9C82-177EE4527905}" name="Months" dataDxfId="9"/>
    <tableColumn id="2" xr3:uid="{611AB191-4857-4F34-B5E7-692B84E3AD23}" name="Month Number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997C-6F4F-4B5E-89F9-9EBCF44711B7}">
  <dimension ref="A1:AE30"/>
  <sheetViews>
    <sheetView tabSelected="1" zoomScale="75" zoomScaleNormal="75" workbookViewId="0">
      <selection activeCell="I17" sqref="I17:J29"/>
    </sheetView>
  </sheetViews>
  <sheetFormatPr defaultRowHeight="14.4" x14ac:dyDescent="0.3"/>
  <cols>
    <col min="1" max="1" width="8.88671875" style="70"/>
    <col min="2" max="2" width="12.6640625" customWidth="1"/>
    <col min="3" max="3" width="18.88671875" customWidth="1"/>
    <col min="4" max="4" width="21.88671875" customWidth="1"/>
    <col min="5" max="5" width="20.21875" customWidth="1"/>
    <col min="6" max="6" width="2.6640625" customWidth="1"/>
    <col min="8" max="8" width="14.77734375" customWidth="1"/>
    <col min="10" max="10" width="24.109375" customWidth="1"/>
    <col min="14" max="14" width="3.44140625" customWidth="1"/>
    <col min="15" max="15" width="16.33203125" customWidth="1"/>
    <col min="16" max="16" width="24.21875" customWidth="1"/>
    <col min="17" max="17" width="12" customWidth="1"/>
    <col min="18" max="18" width="13.21875" customWidth="1"/>
    <col min="29" max="29" width="11" hidden="1" customWidth="1"/>
    <col min="30" max="30" width="12.33203125" hidden="1" customWidth="1"/>
    <col min="31" max="31" width="8.88671875" hidden="1" customWidth="1"/>
  </cols>
  <sheetData>
    <row r="1" spans="1:31" x14ac:dyDescent="0.3">
      <c r="A1" s="66"/>
      <c r="B1" s="66"/>
      <c r="C1" s="66"/>
      <c r="D1" s="67"/>
      <c r="E1" s="67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5"/>
      <c r="X1" s="65"/>
      <c r="AC1" t="s">
        <v>49</v>
      </c>
      <c r="AD1" t="s">
        <v>71</v>
      </c>
      <c r="AE1">
        <f>D14</f>
        <v>21</v>
      </c>
    </row>
    <row r="2" spans="1:31" ht="21" x14ac:dyDescent="0.4">
      <c r="A2" s="66"/>
      <c r="B2" s="67"/>
      <c r="C2" s="67"/>
      <c r="D2" s="62" t="s">
        <v>73</v>
      </c>
      <c r="E2" s="63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5"/>
      <c r="X2" s="65"/>
      <c r="AC2" cm="1">
        <f t="array" ref="AC2">ROWS(
_xlfn._xlws.FILTER(_xlfn.ANCHORARRAY(
'Main Database'!B4),
MONTH(_xlfn.ANCHORARRAY('Main Database'!B4))=MONTH(DATEVALUE(DASHBOARD!D9&amp;" 1"))
)
)</f>
        <v>31</v>
      </c>
      <c r="AD2" t="s">
        <v>72</v>
      </c>
      <c r="AE2">
        <f>AC2-AE1</f>
        <v>10</v>
      </c>
    </row>
    <row r="3" spans="1:31" ht="21" x14ac:dyDescent="0.4">
      <c r="A3" s="66"/>
      <c r="B3" s="57" t="s">
        <v>63</v>
      </c>
      <c r="C3" s="58" t="s">
        <v>64</v>
      </c>
      <c r="D3" s="59" t="s">
        <v>65</v>
      </c>
      <c r="E3" s="59" t="s">
        <v>66</v>
      </c>
      <c r="F3" s="66"/>
      <c r="G3" s="78" t="s">
        <v>67</v>
      </c>
      <c r="H3" s="78"/>
      <c r="I3" s="78"/>
      <c r="J3" s="78"/>
      <c r="K3" s="78"/>
      <c r="L3" s="78"/>
      <c r="M3" s="78"/>
      <c r="N3" s="66"/>
      <c r="O3" s="64" t="s">
        <v>68</v>
      </c>
      <c r="P3" s="64"/>
      <c r="Q3" s="66"/>
      <c r="R3" s="66"/>
      <c r="S3" s="66"/>
      <c r="T3" s="66"/>
      <c r="U3" s="66"/>
      <c r="V3" s="66"/>
      <c r="W3" s="65"/>
      <c r="X3" s="65"/>
    </row>
    <row r="4" spans="1:31" ht="15" customHeight="1" x14ac:dyDescent="0.35">
      <c r="A4" s="66"/>
      <c r="B4" s="81">
        <f ca="1">TODAY()</f>
        <v>46236</v>
      </c>
      <c r="C4" s="82" cm="1">
        <f t="array" aca="1" ref="C4" ca="1">_xlfn.XLOOKUP(B4,_xlfn.ANCHORARRAY('Main Database'!B4),_xlfn.ANCHORARRAY('Main Database'!D4))</f>
        <v>1</v>
      </c>
      <c r="D4" s="82">
        <f ca="1">ABS('Non-Working Days'!C11-DASHBOARD!B4)</f>
        <v>96</v>
      </c>
      <c r="E4" s="82">
        <f ca="1">ABS(nrSemesterEnd-DASHBOARD!B4)</f>
        <v>130</v>
      </c>
      <c r="F4" s="66"/>
      <c r="G4" s="79">
        <f ca="1">MAX(0,MIN(1,(B4-nrsemesterstart)/(nrSemesterEnd-nrsemesterstart)))</f>
        <v>4.4117647058823532E-2</v>
      </c>
      <c r="H4" s="79"/>
      <c r="I4" s="79"/>
      <c r="J4" s="79"/>
      <c r="K4" s="79"/>
      <c r="L4" s="79"/>
      <c r="M4" s="80"/>
      <c r="N4" s="66"/>
      <c r="O4" s="25" t="s">
        <v>69</v>
      </c>
      <c r="P4" s="25" t="s">
        <v>0</v>
      </c>
      <c r="Q4" s="66"/>
      <c r="R4" s="66"/>
      <c r="S4" s="66"/>
      <c r="T4" s="66"/>
      <c r="U4" s="66"/>
      <c r="V4" s="66"/>
      <c r="W4" s="65"/>
      <c r="X4" s="65"/>
    </row>
    <row r="5" spans="1:31" ht="29.4" customHeight="1" x14ac:dyDescent="0.35">
      <c r="A5" s="66"/>
      <c r="B5" s="83"/>
      <c r="C5" s="84"/>
      <c r="D5" s="84"/>
      <c r="E5" s="84"/>
      <c r="F5" s="66"/>
      <c r="G5" s="79"/>
      <c r="H5" s="79"/>
      <c r="I5" s="79"/>
      <c r="J5" s="79"/>
      <c r="K5" s="79"/>
      <c r="L5" s="79"/>
      <c r="M5" s="80"/>
      <c r="N5" s="66"/>
      <c r="O5" s="85" t="str" cm="1">
        <f t="array" aca="1" ref="O5:P7" ca="1">IFERROR(_xlfn.TAKE(_xlfn._xlws.SORT(_xlfn._xlws.FILTER('Non-Working Days'!B3:C21,'Non-Working Days'!C3:C21&gt;DASHBOARD!B4),2,1),3),"No Upcoming Events")</f>
        <v>Independence Day</v>
      </c>
      <c r="P5" s="86">
        <f ca="1"/>
        <v>46249</v>
      </c>
      <c r="Q5" s="66"/>
      <c r="R5" s="66"/>
      <c r="S5" s="66"/>
      <c r="T5" s="66"/>
      <c r="U5" s="66"/>
      <c r="V5" s="66"/>
      <c r="W5" s="65"/>
      <c r="X5" s="65"/>
    </row>
    <row r="6" spans="1:31" ht="25.8" customHeight="1" x14ac:dyDescent="0.35">
      <c r="A6" s="66"/>
      <c r="B6" s="68"/>
      <c r="C6" s="68"/>
      <c r="D6" s="68"/>
      <c r="E6" s="68"/>
      <c r="F6" s="66"/>
      <c r="G6" s="66"/>
      <c r="H6" s="66"/>
      <c r="I6" s="66"/>
      <c r="J6" s="66"/>
      <c r="K6" s="66"/>
      <c r="L6" s="66"/>
      <c r="M6" s="66"/>
      <c r="N6" s="66"/>
      <c r="O6" s="85" t="str">
        <f ca="1"/>
        <v>Janmashtami</v>
      </c>
      <c r="P6" s="86">
        <f ca="1"/>
        <v>46269</v>
      </c>
      <c r="Q6" s="66"/>
      <c r="R6" s="66"/>
      <c r="S6" s="66"/>
      <c r="T6" s="66"/>
      <c r="U6" s="66"/>
      <c r="V6" s="66"/>
      <c r="W6" s="65"/>
      <c r="X6" s="65"/>
    </row>
    <row r="7" spans="1:31" ht="29.4" customHeight="1" x14ac:dyDescent="0.35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85" t="str">
        <f ca="1"/>
        <v>Mahatma Gandhi's Birthday</v>
      </c>
      <c r="P7" s="86">
        <f ca="1"/>
        <v>46297</v>
      </c>
      <c r="Q7" s="66"/>
      <c r="R7" s="66"/>
      <c r="S7" s="66"/>
      <c r="T7" s="66"/>
      <c r="U7" s="66"/>
      <c r="V7" s="66"/>
      <c r="W7" s="65"/>
      <c r="X7" s="65"/>
      <c r="Y7" s="71"/>
    </row>
    <row r="8" spans="1:3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5"/>
      <c r="X8" s="65"/>
    </row>
    <row r="9" spans="1:31" ht="15.6" customHeight="1" x14ac:dyDescent="0.3">
      <c r="A9" s="66"/>
      <c r="B9" s="44" t="s">
        <v>70</v>
      </c>
      <c r="C9" s="45"/>
      <c r="D9" s="60" t="s">
        <v>56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5"/>
      <c r="X9" s="65"/>
    </row>
    <row r="10" spans="1:31" ht="14.4" customHeight="1" x14ac:dyDescent="0.3">
      <c r="A10" s="66"/>
      <c r="B10" s="46"/>
      <c r="C10" s="47"/>
      <c r="D10" s="61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5"/>
      <c r="X10" s="65"/>
    </row>
    <row r="11" spans="1:31" x14ac:dyDescent="0.3">
      <c r="A11" s="66"/>
      <c r="B11" s="68"/>
      <c r="C11" s="68"/>
      <c r="D11" s="65"/>
      <c r="E11" s="67"/>
      <c r="F11" s="66"/>
      <c r="G11" s="66"/>
      <c r="H11" s="67"/>
      <c r="I11" s="67"/>
      <c r="J11" s="67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5"/>
      <c r="X11" s="65"/>
    </row>
    <row r="12" spans="1:31" ht="14.4" customHeight="1" x14ac:dyDescent="0.3">
      <c r="A12" s="66"/>
      <c r="B12" s="66"/>
      <c r="C12" s="66"/>
      <c r="D12" s="72" t="s">
        <v>50</v>
      </c>
      <c r="E12" s="73"/>
      <c r="F12" s="66"/>
      <c r="G12" s="66"/>
      <c r="H12" s="72" t="s">
        <v>52</v>
      </c>
      <c r="I12" s="76"/>
      <c r="J12" s="7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5"/>
      <c r="X12" s="65"/>
    </row>
    <row r="13" spans="1:31" ht="14.4" customHeight="1" x14ac:dyDescent="0.3">
      <c r="A13" s="66"/>
      <c r="B13" s="66"/>
      <c r="C13" s="66"/>
      <c r="D13" s="74"/>
      <c r="E13" s="75"/>
      <c r="F13" s="66"/>
      <c r="G13" s="66"/>
      <c r="H13" s="74"/>
      <c r="I13" s="77"/>
      <c r="J13" s="75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5"/>
      <c r="X13" s="65"/>
    </row>
    <row r="14" spans="1:31" ht="23.4" customHeight="1" x14ac:dyDescent="0.3">
      <c r="A14" s="66"/>
      <c r="B14" s="66"/>
      <c r="C14" s="66"/>
      <c r="D14" s="48" cm="1">
        <f t="array" ref="D14">SUM(--_xlfn._xlws.FILTER(_xlfn.ANCHORARRAY('Main Database'!E4),MONTH(_xlfn.ANCHORARRAY('Main Database'!B4))=MONTH(DATEVALUE(DASHBOARD!D9&amp;" 1"))))</f>
        <v>21</v>
      </c>
      <c r="E14" s="50"/>
      <c r="F14" s="66"/>
      <c r="G14" s="66"/>
      <c r="H14" s="48" cm="1">
        <f t="array" ref="H14">SUM(--((MONTH(_xlfn.ANCHORARRAY('Main Database'!B4))=MONTH(DATEVALUE(DASHBOARD!D9&amp;" 1")))* (_xlfn.ANCHORARRAY('Main Database'!F4)&lt;&gt;"") ))</f>
        <v>1</v>
      </c>
      <c r="I14" s="49"/>
      <c r="J14" s="50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5"/>
      <c r="X14" s="65"/>
    </row>
    <row r="15" spans="1:31" ht="23.4" customHeight="1" x14ac:dyDescent="0.3">
      <c r="A15" s="66"/>
      <c r="B15" s="66"/>
      <c r="C15" s="66"/>
      <c r="D15" s="51"/>
      <c r="E15" s="53"/>
      <c r="F15" s="66"/>
      <c r="G15" s="66"/>
      <c r="H15" s="51"/>
      <c r="I15" s="52"/>
      <c r="J15" s="53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5"/>
      <c r="X15" s="65"/>
    </row>
    <row r="16" spans="1:31" ht="23.4" customHeight="1" x14ac:dyDescent="0.3">
      <c r="A16" s="66"/>
      <c r="B16" s="66"/>
      <c r="C16" s="66"/>
      <c r="D16" s="54"/>
      <c r="E16" s="56"/>
      <c r="F16" s="66"/>
      <c r="G16" s="66"/>
      <c r="H16" s="54"/>
      <c r="I16" s="55"/>
      <c r="J16" s="5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5"/>
      <c r="X16" s="65"/>
    </row>
    <row r="17" spans="1:24" x14ac:dyDescent="0.3">
      <c r="A17" s="66"/>
      <c r="B17" s="66"/>
      <c r="C17" s="66"/>
      <c r="D17" s="68"/>
      <c r="E17" s="65"/>
      <c r="F17" s="67"/>
      <c r="G17" s="67"/>
      <c r="H17" s="65"/>
      <c r="I17" s="68"/>
      <c r="J17" s="68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5"/>
      <c r="X17" s="65"/>
    </row>
    <row r="18" spans="1:24" ht="14.4" customHeight="1" x14ac:dyDescent="0.3">
      <c r="A18" s="66"/>
      <c r="B18" s="66"/>
      <c r="C18" s="66"/>
      <c r="D18" s="66"/>
      <c r="E18" s="72" t="s">
        <v>51</v>
      </c>
      <c r="F18" s="76"/>
      <c r="G18" s="76"/>
      <c r="H18" s="73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5"/>
      <c r="X18" s="65"/>
    </row>
    <row r="19" spans="1:24" ht="14.4" customHeight="1" x14ac:dyDescent="0.3">
      <c r="A19" s="66"/>
      <c r="B19" s="66"/>
      <c r="C19" s="66"/>
      <c r="D19" s="66"/>
      <c r="E19" s="74"/>
      <c r="F19" s="77"/>
      <c r="G19" s="77"/>
      <c r="H19" s="75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5"/>
      <c r="X19" s="65"/>
    </row>
    <row r="20" spans="1:24" ht="14.4" customHeight="1" x14ac:dyDescent="0.3">
      <c r="A20" s="66"/>
      <c r="B20" s="66"/>
      <c r="C20" s="66"/>
      <c r="D20" s="66"/>
      <c r="E20" s="48" cm="1">
        <f t="array" ref="E20">IFERROR(ROWS( _xlfn._xlws.FILTER(_xlfn.ANCHORARRAY( 'Main Database'!C4),  (MONTH(_xlfn.ANCHORARRAY('Main Database'!B4))=MONTH(DATEVALUE(DASHBOARD!D9&amp;" 1"))) *(   (_xlfn.ANCHORARRAY('Main Database'!C4)="Sat") + (_xlfn.ANCHORARRAY('Main Database'!C4)="Sun")) )),0)</f>
        <v>10</v>
      </c>
      <c r="F20" s="49"/>
      <c r="G20" s="49"/>
      <c r="H20" s="50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5"/>
      <c r="X20" s="65"/>
    </row>
    <row r="21" spans="1:24" ht="14.4" customHeight="1" x14ac:dyDescent="0.3">
      <c r="A21" s="66"/>
      <c r="B21" s="66"/>
      <c r="C21" s="66"/>
      <c r="D21" s="66"/>
      <c r="E21" s="51"/>
      <c r="F21" s="52"/>
      <c r="G21" s="52"/>
      <c r="H21" s="53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5"/>
      <c r="X21" s="65"/>
    </row>
    <row r="22" spans="1:24" ht="14.4" customHeight="1" x14ac:dyDescent="0.3">
      <c r="A22" s="66"/>
      <c r="B22" s="66"/>
      <c r="C22" s="66"/>
      <c r="D22" s="66"/>
      <c r="E22" s="51"/>
      <c r="F22" s="52"/>
      <c r="G22" s="52"/>
      <c r="H22" s="53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5"/>
      <c r="X22" s="65"/>
    </row>
    <row r="23" spans="1:24" ht="14.4" customHeight="1" x14ac:dyDescent="0.3">
      <c r="A23" s="66"/>
      <c r="B23" s="66"/>
      <c r="C23" s="66"/>
      <c r="D23" s="66"/>
      <c r="E23" s="51"/>
      <c r="F23" s="52"/>
      <c r="G23" s="52"/>
      <c r="H23" s="53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5"/>
      <c r="X23" s="65"/>
    </row>
    <row r="24" spans="1:24" ht="37.799999999999997" customHeight="1" x14ac:dyDescent="0.3">
      <c r="A24" s="66"/>
      <c r="B24" s="66"/>
      <c r="C24" s="66"/>
      <c r="D24" s="66"/>
      <c r="E24" s="54"/>
      <c r="F24" s="55"/>
      <c r="G24" s="55"/>
      <c r="H24" s="5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5"/>
      <c r="X24" s="65"/>
    </row>
    <row r="25" spans="1:24" x14ac:dyDescent="0.3">
      <c r="A25" s="66"/>
      <c r="B25" s="66"/>
      <c r="C25" s="66"/>
      <c r="D25" s="66"/>
      <c r="E25" s="68"/>
      <c r="F25" s="68"/>
      <c r="G25" s="68"/>
      <c r="H25" s="68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5"/>
      <c r="X25" s="65"/>
    </row>
    <row r="26" spans="1:24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5"/>
    </row>
    <row r="27" spans="1:24" x14ac:dyDescent="0.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5"/>
      <c r="X27" s="65"/>
    </row>
    <row r="28" spans="1:24" x14ac:dyDescent="0.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5"/>
      <c r="X28" s="65"/>
    </row>
    <row r="29" spans="1:24" x14ac:dyDescent="0.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5"/>
      <c r="X29" s="65"/>
    </row>
    <row r="30" spans="1:24" x14ac:dyDescent="0.3">
      <c r="A30" s="69"/>
      <c r="B30" s="65"/>
      <c r="C30" s="65"/>
      <c r="D30" s="65"/>
      <c r="E30" s="65"/>
      <c r="F30" s="65"/>
      <c r="G30" s="65"/>
      <c r="H30" s="65"/>
      <c r="I30" s="65"/>
      <c r="J30" s="65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5"/>
      <c r="X30" s="65"/>
    </row>
  </sheetData>
  <mergeCells count="35">
    <mergeCell ref="A1:A29"/>
    <mergeCell ref="B1:C2"/>
    <mergeCell ref="D1:E1"/>
    <mergeCell ref="G1:M2"/>
    <mergeCell ref="B6:E8"/>
    <mergeCell ref="G6:M8"/>
    <mergeCell ref="E9:E11"/>
    <mergeCell ref="O1:V2"/>
    <mergeCell ref="Q3:V7"/>
    <mergeCell ref="O8:V8"/>
    <mergeCell ref="G9:G17"/>
    <mergeCell ref="H9:J11"/>
    <mergeCell ref="B11:C29"/>
    <mergeCell ref="D17:D29"/>
    <mergeCell ref="E25:H29"/>
    <mergeCell ref="D2:E2"/>
    <mergeCell ref="G4:M5"/>
    <mergeCell ref="B4:B5"/>
    <mergeCell ref="C4:C5"/>
    <mergeCell ref="D4:D5"/>
    <mergeCell ref="E4:E5"/>
    <mergeCell ref="F1:F17"/>
    <mergeCell ref="B9:C10"/>
    <mergeCell ref="D9:D10"/>
    <mergeCell ref="D12:E13"/>
    <mergeCell ref="H12:J13"/>
    <mergeCell ref="G3:M3"/>
    <mergeCell ref="E20:H24"/>
    <mergeCell ref="E18:H19"/>
    <mergeCell ref="I17:J29"/>
    <mergeCell ref="K9:V30"/>
    <mergeCell ref="O3:P3"/>
    <mergeCell ref="D14:E16"/>
    <mergeCell ref="H14:J16"/>
    <mergeCell ref="N1:N8"/>
  </mergeCells>
  <conditionalFormatting sqref="G4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{461708C7-435F-4D74-8A68-CEC466AFBBCF}</x14:id>
        </ext>
      </extLst>
    </cfRule>
  </conditionalFormatting>
  <dataValidations count="1">
    <dataValidation type="list" allowBlank="1" showInputMessage="1" showErrorMessage="1" sqref="D9" xr:uid="{4531479B-92D9-43B1-A7FC-98E5BB083C2C}">
      <formula1>MonthList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1708C7-435F-4D74-8A68-CEC466AFBBC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FCE9-45C8-4671-9F53-4711937ABD4E}">
  <sheetPr codeName="Sheet5"/>
  <dimension ref="B4:S151"/>
  <sheetViews>
    <sheetView zoomScale="82" zoomScaleNormal="85" workbookViewId="0">
      <selection activeCell="D9" sqref="D9"/>
    </sheetView>
  </sheetViews>
  <sheetFormatPr defaultRowHeight="14.4" x14ac:dyDescent="0.3"/>
  <cols>
    <col min="2" max="2" width="25.77734375" customWidth="1"/>
    <col min="3" max="3" width="15.77734375" customWidth="1"/>
    <col min="5" max="8" width="18.109375" customWidth="1"/>
    <col min="9" max="9" width="32.6640625" customWidth="1"/>
    <col min="10" max="11" width="18.109375" customWidth="1"/>
    <col min="14" max="14" width="15.44140625" customWidth="1"/>
  </cols>
  <sheetData>
    <row r="4" spans="2:15" ht="15" thickBot="1" x14ac:dyDescent="0.35"/>
    <row r="5" spans="2:15" ht="22.95" customHeight="1" thickBot="1" x14ac:dyDescent="0.35">
      <c r="B5" s="27" t="s">
        <v>62</v>
      </c>
      <c r="C5" s="28" t="s">
        <v>56</v>
      </c>
      <c r="E5" s="30" t="s">
        <v>47</v>
      </c>
      <c r="F5" s="31"/>
      <c r="G5" s="31"/>
      <c r="H5" s="31"/>
      <c r="I5" s="31"/>
      <c r="J5" s="31"/>
      <c r="K5" s="32"/>
    </row>
    <row r="6" spans="2:15" ht="22.95" customHeight="1" x14ac:dyDescent="0.3">
      <c r="B6" s="27"/>
      <c r="C6" s="28"/>
      <c r="E6" s="29" t="s">
        <v>40</v>
      </c>
      <c r="F6" s="29" t="s">
        <v>41</v>
      </c>
      <c r="G6" s="29" t="s">
        <v>42</v>
      </c>
      <c r="H6" s="29" t="s">
        <v>43</v>
      </c>
      <c r="I6" s="29" t="s">
        <v>44</v>
      </c>
      <c r="J6" s="29" t="s">
        <v>45</v>
      </c>
      <c r="K6" s="29" t="s">
        <v>46</v>
      </c>
    </row>
    <row r="7" spans="2:15" ht="18" x14ac:dyDescent="0.35">
      <c r="E7" s="42" t="str" cm="1">
        <f t="array" ref="E7:K12">_xlfn.LET(
    _xlpm.Data,_xlfn.ANCHORARRAY(E15),
    _xlpm.Dates,_xlfn.CHOOSECOLS(_xlpm.Data,1),
    _xlpm.Weeks,_xlfn.CHOOSECOLS(_xlpm.Data,3),
    _xlpm.StartWeek,MIN(_xlpm.Weeks),
    _xlpm.MonthNum,MONTH($E$15),
    _xlfn.MAKEARRAY(
        6,
        7,
        _xlfn.LAMBDA(_xlpm.r,_xlpm.c,
            IFERROR(
                    _xlfn.XLOOKUP(
                        1,
                        (_xlpm.Weeks=_xlpm.StartWeek+_xlpm.r-1)*
                        (WEEKDAY(_xlpm.Dates,2)=_xlpm.c)*
                        (MONTH(_xlpm.Dates)=_xlpm.MonthNum),
                        _xlpm.Dates
                ),
                ""
            )
        )
    )
)</f>
        <v/>
      </c>
      <c r="F7" s="42" t="str">
        <v/>
      </c>
      <c r="G7" s="42" t="str">
        <v/>
      </c>
      <c r="H7" s="42" t="str">
        <v/>
      </c>
      <c r="I7" s="42" t="str">
        <v/>
      </c>
      <c r="J7" s="42">
        <v>46235</v>
      </c>
      <c r="K7" s="42">
        <v>46236</v>
      </c>
    </row>
    <row r="8" spans="2:15" ht="18" x14ac:dyDescent="0.35">
      <c r="E8" s="42">
        <v>46237</v>
      </c>
      <c r="F8" s="42">
        <v>46238</v>
      </c>
      <c r="G8" s="42">
        <v>46239</v>
      </c>
      <c r="H8" s="42">
        <v>46240</v>
      </c>
      <c r="I8" s="42">
        <v>46241</v>
      </c>
      <c r="J8" s="42">
        <v>46242</v>
      </c>
      <c r="K8" s="42">
        <v>46243</v>
      </c>
    </row>
    <row r="9" spans="2:15" ht="18" x14ac:dyDescent="0.35">
      <c r="E9" s="42">
        <v>46244</v>
      </c>
      <c r="F9" s="42">
        <v>46245</v>
      </c>
      <c r="G9" s="42">
        <v>46246</v>
      </c>
      <c r="H9" s="42">
        <v>46247</v>
      </c>
      <c r="I9" s="42">
        <v>46248</v>
      </c>
      <c r="J9" s="42">
        <v>46249</v>
      </c>
      <c r="K9" s="42">
        <v>46250</v>
      </c>
    </row>
    <row r="10" spans="2:15" ht="18" x14ac:dyDescent="0.35">
      <c r="E10" s="42">
        <v>46251</v>
      </c>
      <c r="F10" s="42">
        <v>46252</v>
      </c>
      <c r="G10" s="42">
        <v>46253</v>
      </c>
      <c r="H10" s="42">
        <v>46254</v>
      </c>
      <c r="I10" s="42">
        <v>46255</v>
      </c>
      <c r="J10" s="42">
        <v>46256</v>
      </c>
      <c r="K10" s="42">
        <v>46257</v>
      </c>
    </row>
    <row r="11" spans="2:15" ht="18" x14ac:dyDescent="0.35">
      <c r="E11" s="42">
        <v>46258</v>
      </c>
      <c r="F11" s="42">
        <v>46259</v>
      </c>
      <c r="G11" s="42">
        <v>46260</v>
      </c>
      <c r="H11" s="42">
        <v>46261</v>
      </c>
      <c r="I11" s="42">
        <v>46262</v>
      </c>
      <c r="J11" s="42">
        <v>46263</v>
      </c>
      <c r="K11" s="42">
        <v>46264</v>
      </c>
    </row>
    <row r="12" spans="2:15" ht="18" x14ac:dyDescent="0.35">
      <c r="E12" s="42">
        <v>46265</v>
      </c>
      <c r="F12" s="43" t="str">
        <v/>
      </c>
      <c r="G12" s="43" t="str">
        <v/>
      </c>
      <c r="H12" s="43" t="str">
        <v/>
      </c>
      <c r="I12" s="43" t="str">
        <v/>
      </c>
      <c r="J12" s="43" t="str">
        <v/>
      </c>
      <c r="K12" s="43" t="str">
        <v/>
      </c>
    </row>
    <row r="13" spans="2:15" ht="18" x14ac:dyDescent="0.35">
      <c r="E13" s="21"/>
      <c r="F13" s="21"/>
      <c r="G13" s="21"/>
      <c r="H13" s="21"/>
      <c r="I13" s="21"/>
      <c r="J13" s="21"/>
      <c r="K13" s="21"/>
    </row>
    <row r="14" spans="2:15" ht="18" x14ac:dyDescent="0.35">
      <c r="E14" s="22" t="s">
        <v>0</v>
      </c>
      <c r="F14" s="23" t="s">
        <v>1</v>
      </c>
      <c r="G14" s="23" t="s">
        <v>9</v>
      </c>
      <c r="H14" s="23" t="s">
        <v>10</v>
      </c>
      <c r="I14" s="23" t="s">
        <v>2</v>
      </c>
      <c r="J14" s="23" t="s">
        <v>3</v>
      </c>
      <c r="K14" s="23" t="s">
        <v>4</v>
      </c>
      <c r="N14" s="24" t="s">
        <v>48</v>
      </c>
      <c r="O14" s="24"/>
    </row>
    <row r="15" spans="2:15" ht="18" x14ac:dyDescent="0.35">
      <c r="D15" s="18"/>
      <c r="E15" s="20" cm="1">
        <f t="array" ref="E15:K45">_xlfn._xlws.FILTER(_xlfn.HSTACK(_xlfn.ANCHORARRAY('Main Database'!B4),_xlfn.ANCHORARRAY('Main Database'!C4),_xlfn.ANCHORARRAY('Main Database'!D4),_xlfn.ANCHORARRAY(
'Main Database'!E4),_xlfn.ANCHORARRAY(
'Main Database'!F4),_xlfn.ANCHORARRAY(
'Main Database'!G4),_xlfn.ANCHORARRAY(
'Main Database'!H4)),MONTH(_xlfn.ANCHORARRAY('Main Database'!B4))=_xlfn.XLOOKUP(C5,TblMonth[Months],TblMonth[Month Number]),"")</f>
        <v>46235</v>
      </c>
      <c r="F15" s="21" t="str">
        <v>Sat</v>
      </c>
      <c r="G15" s="21">
        <v>1</v>
      </c>
      <c r="H15" s="21" t="b">
        <v>0</v>
      </c>
      <c r="I15" s="21" t="str">
        <v/>
      </c>
      <c r="J15" s="21" t="str">
        <v/>
      </c>
      <c r="K15" s="21" t="str">
        <v/>
      </c>
      <c r="N15" s="25" t="s">
        <v>49</v>
      </c>
      <c r="O15" s="26">
        <f>COUNT(_xlfn.CHOOSECOLS(_xlfn.ANCHORARRAY(E15),1))</f>
        <v>31</v>
      </c>
    </row>
    <row r="16" spans="2:15" ht="18" x14ac:dyDescent="0.35">
      <c r="E16" s="20">
        <v>46236</v>
      </c>
      <c r="F16" s="21" t="str">
        <v>Sun</v>
      </c>
      <c r="G16" s="21">
        <v>1</v>
      </c>
      <c r="H16" s="21" t="b">
        <v>0</v>
      </c>
      <c r="I16" s="21" t="str">
        <v/>
      </c>
      <c r="J16" s="21" t="str">
        <v/>
      </c>
      <c r="K16" s="21" t="str">
        <v/>
      </c>
      <c r="N16" s="25" t="s">
        <v>50</v>
      </c>
      <c r="O16" s="26" cm="1">
        <f t="array" ref="O16">SUM(--_xlfn.CHOOSECOLS(_xlfn.ANCHORARRAY(E15),4))</f>
        <v>21</v>
      </c>
    </row>
    <row r="17" spans="5:19" ht="18" x14ac:dyDescent="0.35">
      <c r="E17" s="20">
        <v>46237</v>
      </c>
      <c r="F17" s="21" t="str">
        <v>Mon</v>
      </c>
      <c r="G17" s="21">
        <v>2</v>
      </c>
      <c r="H17" s="21" t="b">
        <v>1</v>
      </c>
      <c r="I17" s="21" t="str">
        <v/>
      </c>
      <c r="J17" s="21" t="str">
        <v/>
      </c>
      <c r="K17" s="21" t="str">
        <v/>
      </c>
      <c r="N17" s="25" t="s">
        <v>51</v>
      </c>
      <c r="O17" s="26" cm="1">
        <f t="array" ref="O17">SUM(--(WEEKDAY(INDEX(_xlfn.ANCHORARRAY(E15),0,1),2)&gt;5))</f>
        <v>10</v>
      </c>
    </row>
    <row r="18" spans="5:19" ht="18" x14ac:dyDescent="0.35">
      <c r="E18" s="20">
        <v>46238</v>
      </c>
      <c r="F18" s="21" t="str">
        <v>Tue</v>
      </c>
      <c r="G18" s="21">
        <v>2</v>
      </c>
      <c r="H18" s="21" t="b">
        <v>1</v>
      </c>
      <c r="I18" s="21" t="str">
        <v/>
      </c>
      <c r="J18" s="21" t="str">
        <v/>
      </c>
      <c r="K18" s="21" t="str">
        <v/>
      </c>
      <c r="N18" s="25" t="s">
        <v>52</v>
      </c>
      <c r="O18" s="26" cm="1">
        <f t="array" ref="O18">SUM(--(_xlfn.CHOOSECOLS(_xlfn.ANCHORARRAY(E15),5)&lt;&gt;""))</f>
        <v>1</v>
      </c>
    </row>
    <row r="19" spans="5:19" ht="18" x14ac:dyDescent="0.35">
      <c r="E19" s="20">
        <v>46239</v>
      </c>
      <c r="F19" s="21" t="str">
        <v>Wed</v>
      </c>
      <c r="G19" s="21">
        <v>2</v>
      </c>
      <c r="H19" s="21" t="b">
        <v>1</v>
      </c>
      <c r="I19" s="21" t="str">
        <v/>
      </c>
      <c r="J19" s="21" t="str">
        <v/>
      </c>
      <c r="K19" s="21" t="str">
        <v/>
      </c>
      <c r="N19" s="25" t="s">
        <v>53</v>
      </c>
      <c r="O19" s="26" cm="1">
        <f t="array" ref="O19">SUM(--(_xlfn.CHOOSECOLS(_xlfn.ANCHORARRAY(E15),7)&lt;&gt;""))</f>
        <v>0</v>
      </c>
    </row>
    <row r="20" spans="5:19" ht="18" x14ac:dyDescent="0.35">
      <c r="E20" s="20">
        <v>46240</v>
      </c>
      <c r="F20" s="21" t="str">
        <v>Thu</v>
      </c>
      <c r="G20" s="21">
        <v>2</v>
      </c>
      <c r="H20" s="21" t="b">
        <v>1</v>
      </c>
      <c r="I20" s="21" t="str">
        <v/>
      </c>
      <c r="J20" s="21" t="str">
        <v/>
      </c>
      <c r="K20" s="21" t="str">
        <v/>
      </c>
    </row>
    <row r="21" spans="5:19" ht="18" x14ac:dyDescent="0.35">
      <c r="E21" s="20">
        <v>46241</v>
      </c>
      <c r="F21" s="21" t="str">
        <v>Fri</v>
      </c>
      <c r="G21" s="21">
        <v>2</v>
      </c>
      <c r="H21" s="21" t="b">
        <v>1</v>
      </c>
      <c r="I21" s="21" t="str">
        <v/>
      </c>
      <c r="J21" s="21" t="str">
        <v/>
      </c>
      <c r="K21" s="21" t="str">
        <v/>
      </c>
    </row>
    <row r="22" spans="5:19" ht="18" x14ac:dyDescent="0.35">
      <c r="E22" s="20">
        <v>46242</v>
      </c>
      <c r="F22" s="21" t="str">
        <v>Sat</v>
      </c>
      <c r="G22" s="21">
        <v>2</v>
      </c>
      <c r="H22" s="21" t="b">
        <v>0</v>
      </c>
      <c r="I22" s="21" t="str">
        <v/>
      </c>
      <c r="J22" s="21" t="str">
        <v/>
      </c>
      <c r="K22" s="21" t="str">
        <v/>
      </c>
    </row>
    <row r="23" spans="5:19" ht="18" x14ac:dyDescent="0.35">
      <c r="E23" s="20">
        <v>46243</v>
      </c>
      <c r="F23" s="21" t="str">
        <v>Sun</v>
      </c>
      <c r="G23" s="21">
        <v>2</v>
      </c>
      <c r="H23" s="21" t="b">
        <v>0</v>
      </c>
      <c r="I23" s="21" t="str">
        <v/>
      </c>
      <c r="J23" s="21" t="str">
        <v/>
      </c>
      <c r="K23" s="21" t="str">
        <v/>
      </c>
    </row>
    <row r="24" spans="5:19" ht="18" x14ac:dyDescent="0.35">
      <c r="E24" s="20">
        <v>46244</v>
      </c>
      <c r="F24" s="21" t="str">
        <v>Mon</v>
      </c>
      <c r="G24" s="21">
        <v>3</v>
      </c>
      <c r="H24" s="21" t="b">
        <v>1</v>
      </c>
      <c r="I24" s="21" t="str">
        <v/>
      </c>
      <c r="J24" s="21" t="str">
        <v/>
      </c>
      <c r="K24" s="21" t="str">
        <v/>
      </c>
    </row>
    <row r="25" spans="5:19" ht="18" x14ac:dyDescent="0.35">
      <c r="E25" s="20">
        <v>46245</v>
      </c>
      <c r="F25" s="21" t="str">
        <v>Tue</v>
      </c>
      <c r="G25" s="21">
        <v>3</v>
      </c>
      <c r="H25" s="21" t="b">
        <v>1</v>
      </c>
      <c r="I25" s="21" t="str">
        <v/>
      </c>
      <c r="J25" s="21" t="str">
        <v/>
      </c>
      <c r="K25" s="21" t="str">
        <v/>
      </c>
    </row>
    <row r="26" spans="5:19" ht="18" x14ac:dyDescent="0.35">
      <c r="E26" s="20">
        <v>46246</v>
      </c>
      <c r="F26" s="21" t="str">
        <v>Wed</v>
      </c>
      <c r="G26" s="21">
        <v>3</v>
      </c>
      <c r="H26" s="21" t="b">
        <v>1</v>
      </c>
      <c r="I26" s="21" t="str">
        <v/>
      </c>
      <c r="J26" s="21" t="str">
        <v/>
      </c>
      <c r="K26" s="21" t="str">
        <v/>
      </c>
    </row>
    <row r="27" spans="5:19" ht="18" x14ac:dyDescent="0.35">
      <c r="E27" s="20">
        <v>46247</v>
      </c>
      <c r="F27" s="21" t="str">
        <v>Thu</v>
      </c>
      <c r="G27" s="21">
        <v>3</v>
      </c>
      <c r="H27" s="21" t="b">
        <v>1</v>
      </c>
      <c r="I27" s="21" t="str">
        <v/>
      </c>
      <c r="J27" s="21" t="str">
        <v/>
      </c>
      <c r="K27" s="21" t="str">
        <v/>
      </c>
    </row>
    <row r="28" spans="5:19" ht="18" x14ac:dyDescent="0.35">
      <c r="E28" s="20">
        <v>46248</v>
      </c>
      <c r="F28" s="21" t="str">
        <v>Fri</v>
      </c>
      <c r="G28" s="21">
        <v>3</v>
      </c>
      <c r="H28" s="21" t="b">
        <v>1</v>
      </c>
      <c r="I28" s="21" t="str">
        <v/>
      </c>
      <c r="J28" s="21" t="str">
        <v/>
      </c>
      <c r="K28" s="21" t="str">
        <v/>
      </c>
      <c r="R28" s="1"/>
      <c r="S28" s="1"/>
    </row>
    <row r="29" spans="5:19" ht="18" x14ac:dyDescent="0.35">
      <c r="E29" s="20">
        <v>46249</v>
      </c>
      <c r="F29" s="21" t="str">
        <v>Sat</v>
      </c>
      <c r="G29" s="21">
        <v>3</v>
      </c>
      <c r="H29" s="21" t="b">
        <v>0</v>
      </c>
      <c r="I29" s="21" t="str">
        <v>Independence Day</v>
      </c>
      <c r="J29" s="21" t="str">
        <v/>
      </c>
      <c r="K29" s="21" t="str">
        <v/>
      </c>
      <c r="R29" s="1"/>
      <c r="S29" s="1"/>
    </row>
    <row r="30" spans="5:19" ht="18" x14ac:dyDescent="0.35">
      <c r="E30" s="20">
        <v>46250</v>
      </c>
      <c r="F30" s="21" t="str">
        <v>Sun</v>
      </c>
      <c r="G30" s="21">
        <v>3</v>
      </c>
      <c r="H30" s="21" t="b">
        <v>0</v>
      </c>
      <c r="I30" s="21" t="str">
        <v/>
      </c>
      <c r="J30" s="21" t="str">
        <v/>
      </c>
      <c r="K30" s="21" t="str">
        <v/>
      </c>
      <c r="R30" s="1"/>
    </row>
    <row r="31" spans="5:19" ht="18" x14ac:dyDescent="0.35">
      <c r="E31" s="20">
        <v>46251</v>
      </c>
      <c r="F31" s="21" t="str">
        <v>Mon</v>
      </c>
      <c r="G31" s="21">
        <v>4</v>
      </c>
      <c r="H31" s="21" t="b">
        <v>1</v>
      </c>
      <c r="I31" s="21" t="str">
        <v/>
      </c>
      <c r="J31" s="21" t="str">
        <v/>
      </c>
      <c r="K31" s="21" t="str">
        <v/>
      </c>
    </row>
    <row r="32" spans="5:19" ht="18" x14ac:dyDescent="0.35">
      <c r="E32" s="20">
        <v>46252</v>
      </c>
      <c r="F32" s="21" t="str">
        <v>Tue</v>
      </c>
      <c r="G32" s="21">
        <v>4</v>
      </c>
      <c r="H32" s="21" t="b">
        <v>1</v>
      </c>
      <c r="I32" s="21" t="str">
        <v/>
      </c>
      <c r="J32" s="21" t="str">
        <v/>
      </c>
      <c r="K32" s="21" t="str">
        <v/>
      </c>
    </row>
    <row r="33" spans="5:11" ht="18" x14ac:dyDescent="0.35">
      <c r="E33" s="20">
        <v>46253</v>
      </c>
      <c r="F33" s="21" t="str">
        <v>Wed</v>
      </c>
      <c r="G33" s="21">
        <v>4</v>
      </c>
      <c r="H33" s="21" t="b">
        <v>1</v>
      </c>
      <c r="I33" s="21" t="str">
        <v/>
      </c>
      <c r="J33" s="21" t="str">
        <v/>
      </c>
      <c r="K33" s="21" t="str">
        <v/>
      </c>
    </row>
    <row r="34" spans="5:11" ht="18" x14ac:dyDescent="0.35">
      <c r="E34" s="20">
        <v>46254</v>
      </c>
      <c r="F34" s="21" t="str">
        <v>Thu</v>
      </c>
      <c r="G34" s="21">
        <v>4</v>
      </c>
      <c r="H34" s="21" t="b">
        <v>1</v>
      </c>
      <c r="I34" s="21" t="str">
        <v/>
      </c>
      <c r="J34" s="21" t="str">
        <v/>
      </c>
      <c r="K34" s="21" t="str">
        <v/>
      </c>
    </row>
    <row r="35" spans="5:11" ht="18" x14ac:dyDescent="0.35">
      <c r="E35" s="20">
        <v>46255</v>
      </c>
      <c r="F35" s="21" t="str">
        <v>Fri</v>
      </c>
      <c r="G35" s="21">
        <v>4</v>
      </c>
      <c r="H35" s="21" t="b">
        <v>1</v>
      </c>
      <c r="I35" s="21" t="str">
        <v/>
      </c>
      <c r="J35" s="21" t="str">
        <v/>
      </c>
      <c r="K35" s="21" t="str">
        <v/>
      </c>
    </row>
    <row r="36" spans="5:11" ht="18" x14ac:dyDescent="0.35">
      <c r="E36" s="20">
        <v>46256</v>
      </c>
      <c r="F36" s="21" t="str">
        <v>Sat</v>
      </c>
      <c r="G36" s="21">
        <v>4</v>
      </c>
      <c r="H36" s="21" t="b">
        <v>0</v>
      </c>
      <c r="I36" s="21" t="str">
        <v/>
      </c>
      <c r="J36" s="21" t="str">
        <v/>
      </c>
      <c r="K36" s="21" t="str">
        <v/>
      </c>
    </row>
    <row r="37" spans="5:11" ht="18" x14ac:dyDescent="0.35">
      <c r="E37" s="20">
        <v>46257</v>
      </c>
      <c r="F37" s="21" t="str">
        <v>Sun</v>
      </c>
      <c r="G37" s="21">
        <v>4</v>
      </c>
      <c r="H37" s="21" t="b">
        <v>0</v>
      </c>
      <c r="I37" s="21" t="str">
        <v/>
      </c>
      <c r="J37" s="21" t="str">
        <v/>
      </c>
      <c r="K37" s="21" t="str">
        <v/>
      </c>
    </row>
    <row r="38" spans="5:11" ht="18" x14ac:dyDescent="0.35">
      <c r="E38" s="20">
        <v>46258</v>
      </c>
      <c r="F38" s="21" t="str">
        <v>Mon</v>
      </c>
      <c r="G38" s="21">
        <v>5</v>
      </c>
      <c r="H38" s="21" t="b">
        <v>1</v>
      </c>
      <c r="I38" s="21" t="str">
        <v/>
      </c>
      <c r="J38" s="21" t="str">
        <v/>
      </c>
      <c r="K38" s="21" t="str">
        <v/>
      </c>
    </row>
    <row r="39" spans="5:11" ht="18" x14ac:dyDescent="0.35">
      <c r="E39" s="20">
        <v>46259</v>
      </c>
      <c r="F39" s="21" t="str">
        <v>Tue</v>
      </c>
      <c r="G39" s="21">
        <v>5</v>
      </c>
      <c r="H39" s="21" t="b">
        <v>1</v>
      </c>
      <c r="I39" s="21" t="str">
        <v/>
      </c>
      <c r="J39" s="21" t="str">
        <v/>
      </c>
      <c r="K39" s="21" t="str">
        <v/>
      </c>
    </row>
    <row r="40" spans="5:11" ht="18" x14ac:dyDescent="0.35">
      <c r="E40" s="20">
        <v>46260</v>
      </c>
      <c r="F40" s="21" t="str">
        <v>Wed</v>
      </c>
      <c r="G40" s="21">
        <v>5</v>
      </c>
      <c r="H40" s="21" t="b">
        <v>1</v>
      </c>
      <c r="I40" s="21" t="str">
        <v/>
      </c>
      <c r="J40" s="21" t="str">
        <v/>
      </c>
      <c r="K40" s="21" t="str">
        <v/>
      </c>
    </row>
    <row r="41" spans="5:11" ht="18" x14ac:dyDescent="0.35">
      <c r="E41" s="20">
        <v>46261</v>
      </c>
      <c r="F41" s="21" t="str">
        <v>Thu</v>
      </c>
      <c r="G41" s="21">
        <v>5</v>
      </c>
      <c r="H41" s="21" t="b">
        <v>1</v>
      </c>
      <c r="I41" s="21" t="str">
        <v/>
      </c>
      <c r="J41" s="21" t="str">
        <v/>
      </c>
      <c r="K41" s="21" t="str">
        <v/>
      </c>
    </row>
    <row r="42" spans="5:11" ht="18" x14ac:dyDescent="0.35">
      <c r="E42" s="20">
        <v>46262</v>
      </c>
      <c r="F42" s="21" t="str">
        <v>Fri</v>
      </c>
      <c r="G42" s="21">
        <v>5</v>
      </c>
      <c r="H42" s="21" t="b">
        <v>1</v>
      </c>
      <c r="I42" s="21" t="str">
        <v/>
      </c>
      <c r="J42" s="21" t="str">
        <v/>
      </c>
      <c r="K42" s="21" t="str">
        <v/>
      </c>
    </row>
    <row r="43" spans="5:11" ht="18" x14ac:dyDescent="0.35">
      <c r="E43" s="20">
        <v>46263</v>
      </c>
      <c r="F43" s="21" t="str">
        <v>Sat</v>
      </c>
      <c r="G43" s="21">
        <v>5</v>
      </c>
      <c r="H43" s="21" t="b">
        <v>0</v>
      </c>
      <c r="I43" s="21" t="str">
        <v/>
      </c>
      <c r="J43" s="21" t="str">
        <v/>
      </c>
      <c r="K43" s="21" t="str">
        <v/>
      </c>
    </row>
    <row r="44" spans="5:11" ht="18" x14ac:dyDescent="0.35">
      <c r="E44" s="20">
        <v>46264</v>
      </c>
      <c r="F44" s="21" t="str">
        <v>Sun</v>
      </c>
      <c r="G44" s="21">
        <v>5</v>
      </c>
      <c r="H44" s="21" t="b">
        <v>0</v>
      </c>
      <c r="I44" s="21" t="str">
        <v/>
      </c>
      <c r="J44" s="21" t="str">
        <v/>
      </c>
      <c r="K44" s="21" t="str">
        <v/>
      </c>
    </row>
    <row r="45" spans="5:11" ht="18" x14ac:dyDescent="0.35">
      <c r="E45" s="20">
        <v>46265</v>
      </c>
      <c r="F45" s="21" t="str">
        <v>Mon</v>
      </c>
      <c r="G45" s="21">
        <v>6</v>
      </c>
      <c r="H45" s="21" t="b">
        <v>1</v>
      </c>
      <c r="I45" s="21" t="str">
        <v/>
      </c>
      <c r="J45" s="21" t="str">
        <v/>
      </c>
      <c r="K45" s="21" t="str">
        <v/>
      </c>
    </row>
    <row r="46" spans="5:11" x14ac:dyDescent="0.3">
      <c r="E46" s="1"/>
    </row>
    <row r="47" spans="5:11" x14ac:dyDescent="0.3">
      <c r="E47" s="1"/>
    </row>
    <row r="48" spans="5:11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</sheetData>
  <mergeCells count="4">
    <mergeCell ref="E5:K5"/>
    <mergeCell ref="N14:O14"/>
    <mergeCell ref="B5:B6"/>
    <mergeCell ref="C5:C6"/>
  </mergeCells>
  <phoneticPr fontId="4" type="noConversion"/>
  <dataValidations count="1">
    <dataValidation type="list" allowBlank="1" showInputMessage="1" showErrorMessage="1" sqref="C5" xr:uid="{EBB4BBA7-6BB5-43CB-A193-45AF47ECE025}">
      <formula1>MonthList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H140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" sqref="F4"/>
    </sheetView>
  </sheetViews>
  <sheetFormatPr defaultRowHeight="14.4" x14ac:dyDescent="0.3"/>
  <cols>
    <col min="2" max="2" width="11.6640625" style="1" customWidth="1"/>
    <col min="4" max="4" width="15.88671875" customWidth="1"/>
    <col min="5" max="5" width="16.21875" customWidth="1"/>
    <col min="6" max="6" width="27.88671875" customWidth="1"/>
    <col min="7" max="7" width="12.6640625" customWidth="1"/>
    <col min="8" max="8" width="16.88671875" customWidth="1"/>
  </cols>
  <sheetData>
    <row r="3" spans="2:8" x14ac:dyDescent="0.3">
      <c r="B3" s="4" t="s">
        <v>0</v>
      </c>
      <c r="C3" s="5" t="s">
        <v>1</v>
      </c>
      <c r="D3" s="5" t="s">
        <v>9</v>
      </c>
      <c r="E3" s="5" t="s">
        <v>10</v>
      </c>
      <c r="F3" s="5" t="s">
        <v>2</v>
      </c>
      <c r="G3" s="5" t="s">
        <v>3</v>
      </c>
      <c r="H3" s="6" t="s">
        <v>4</v>
      </c>
    </row>
    <row r="4" spans="2:8" x14ac:dyDescent="0.3">
      <c r="B4" s="7" cm="1">
        <f t="array" ref="B4:B140">_xlfn.SEQUENCE(nrSemesterEnd-nrsemesterstart+1,1,nrsemesterstart,1)</f>
        <v>46230</v>
      </c>
      <c r="C4" s="8" t="str" cm="1">
        <f t="array" ref="C4:C140">TEXT(_xlfn.ANCHORARRAY(B4),"ddd")</f>
        <v>Mon</v>
      </c>
      <c r="D4" s="8" cm="1">
        <f t="array" ref="D4:D140">INT((_xlfn.ANCHORARRAY(B4)-nrsemesterstart)/7)+1</f>
        <v>1</v>
      </c>
      <c r="E4" s="8" t="b" cm="1">
        <f t="array" ref="E4:E140">IF(((_xlfn.ANCHORARRAY(C4)="Sat")+(_xlfn.ANCHORARRAY(C4)="Sun")+(_xlfn.ANCHORARRAY(F4)&lt;&gt;""))&gt;0,FALSE,TRUE)</f>
        <v>1</v>
      </c>
      <c r="F4" s="8" t="str" cm="1">
        <f t="array" ref="F4:F140">_xlfn.XLOOKUP(_xlfn.ANCHORARRAY(B4),TblNonWorkingDays[Date],TblNonWorkingDays[Name],"")</f>
        <v/>
      </c>
      <c r="G4" s="8" t="str" cm="1">
        <f t="array" ref="G4:G140">_xlfn.XLOOKUP(_xlfn.ANCHORARRAY(B4),TblEvents[DATE],TblEvents[Event Type],"")</f>
        <v/>
      </c>
      <c r="H4" s="9" t="str" cm="1">
        <f t="array" ref="H4:H140">_xlfn.XLOOKUP(_xlfn.ANCHORARRAY(B4),TblEvents[DATE],TblEvents[Event Name],"")</f>
        <v/>
      </c>
    </row>
    <row r="5" spans="2:8" x14ac:dyDescent="0.3">
      <c r="B5" s="10">
        <v>46231</v>
      </c>
      <c r="C5" s="11" t="str">
        <v>Tue</v>
      </c>
      <c r="D5" s="11">
        <v>1</v>
      </c>
      <c r="E5" s="8" t="b">
        <v>1</v>
      </c>
      <c r="F5" s="11" t="str">
        <v/>
      </c>
      <c r="G5" s="11" t="str">
        <v/>
      </c>
      <c r="H5" s="12" t="str">
        <v/>
      </c>
    </row>
    <row r="6" spans="2:8" x14ac:dyDescent="0.3">
      <c r="B6" s="7">
        <v>46232</v>
      </c>
      <c r="C6" s="8" t="str">
        <v>Wed</v>
      </c>
      <c r="D6" s="8">
        <v>1</v>
      </c>
      <c r="E6" s="8" t="b">
        <v>1</v>
      </c>
      <c r="F6" s="8" t="str">
        <v/>
      </c>
      <c r="G6" s="8" t="str">
        <v/>
      </c>
      <c r="H6" s="9" t="str">
        <v/>
      </c>
    </row>
    <row r="7" spans="2:8" x14ac:dyDescent="0.3">
      <c r="B7" s="10">
        <v>46233</v>
      </c>
      <c r="C7" s="11" t="str">
        <v>Thu</v>
      </c>
      <c r="D7" s="11">
        <v>1</v>
      </c>
      <c r="E7" s="8" t="b">
        <v>1</v>
      </c>
      <c r="F7" s="11" t="str">
        <v/>
      </c>
      <c r="G7" s="11" t="str">
        <v/>
      </c>
      <c r="H7" s="12" t="str">
        <v/>
      </c>
    </row>
    <row r="8" spans="2:8" x14ac:dyDescent="0.3">
      <c r="B8" s="7">
        <v>46234</v>
      </c>
      <c r="C8" s="8" t="str">
        <v>Fri</v>
      </c>
      <c r="D8" s="8">
        <v>1</v>
      </c>
      <c r="E8" s="8" t="b">
        <v>1</v>
      </c>
      <c r="F8" s="8" t="str">
        <v/>
      </c>
      <c r="G8" s="8" t="str">
        <v/>
      </c>
      <c r="H8" s="9" t="str">
        <v/>
      </c>
    </row>
    <row r="9" spans="2:8" x14ac:dyDescent="0.3">
      <c r="B9" s="10">
        <v>46235</v>
      </c>
      <c r="C9" s="11" t="str">
        <v>Sat</v>
      </c>
      <c r="D9" s="11">
        <v>1</v>
      </c>
      <c r="E9" s="8" t="b">
        <v>0</v>
      </c>
      <c r="F9" s="11" t="str">
        <v/>
      </c>
      <c r="G9" s="11" t="str">
        <v/>
      </c>
      <c r="H9" s="12" t="str">
        <v/>
      </c>
    </row>
    <row r="10" spans="2:8" x14ac:dyDescent="0.3">
      <c r="B10" s="7">
        <v>46236</v>
      </c>
      <c r="C10" s="8" t="str">
        <v>Sun</v>
      </c>
      <c r="D10" s="8">
        <v>1</v>
      </c>
      <c r="E10" s="8" t="b">
        <v>0</v>
      </c>
      <c r="F10" s="8" t="str">
        <v/>
      </c>
      <c r="G10" s="8" t="str">
        <v/>
      </c>
      <c r="H10" s="9" t="str">
        <v/>
      </c>
    </row>
    <row r="11" spans="2:8" x14ac:dyDescent="0.3">
      <c r="B11" s="10">
        <v>46237</v>
      </c>
      <c r="C11" s="11" t="str">
        <v>Mon</v>
      </c>
      <c r="D11" s="11">
        <v>2</v>
      </c>
      <c r="E11" s="8" t="b">
        <v>1</v>
      </c>
      <c r="F11" s="11" t="str">
        <v/>
      </c>
      <c r="G11" s="11" t="str">
        <v/>
      </c>
      <c r="H11" s="12" t="str">
        <v/>
      </c>
    </row>
    <row r="12" spans="2:8" x14ac:dyDescent="0.3">
      <c r="B12" s="7">
        <v>46238</v>
      </c>
      <c r="C12" s="8" t="str">
        <v>Tue</v>
      </c>
      <c r="D12" s="8">
        <v>2</v>
      </c>
      <c r="E12" s="8" t="b">
        <v>1</v>
      </c>
      <c r="F12" s="8" t="str">
        <v/>
      </c>
      <c r="G12" s="8" t="str">
        <v/>
      </c>
      <c r="H12" s="9" t="str">
        <v/>
      </c>
    </row>
    <row r="13" spans="2:8" x14ac:dyDescent="0.3">
      <c r="B13" s="10">
        <v>46239</v>
      </c>
      <c r="C13" s="11" t="str">
        <v>Wed</v>
      </c>
      <c r="D13" s="11">
        <v>2</v>
      </c>
      <c r="E13" s="8" t="b">
        <v>1</v>
      </c>
      <c r="F13" s="11" t="str">
        <v/>
      </c>
      <c r="G13" s="11" t="str">
        <v/>
      </c>
      <c r="H13" s="12" t="str">
        <v/>
      </c>
    </row>
    <row r="14" spans="2:8" x14ac:dyDescent="0.3">
      <c r="B14" s="7">
        <v>46240</v>
      </c>
      <c r="C14" s="8" t="str">
        <v>Thu</v>
      </c>
      <c r="D14" s="8">
        <v>2</v>
      </c>
      <c r="E14" s="8" t="b">
        <v>1</v>
      </c>
      <c r="F14" s="8" t="str">
        <v/>
      </c>
      <c r="G14" s="8" t="str">
        <v/>
      </c>
      <c r="H14" s="9" t="str">
        <v/>
      </c>
    </row>
    <row r="15" spans="2:8" x14ac:dyDescent="0.3">
      <c r="B15" s="10">
        <v>46241</v>
      </c>
      <c r="C15" s="11" t="str">
        <v>Fri</v>
      </c>
      <c r="D15" s="11">
        <v>2</v>
      </c>
      <c r="E15" s="8" t="b">
        <v>1</v>
      </c>
      <c r="F15" s="11" t="str">
        <v/>
      </c>
      <c r="G15" s="11" t="str">
        <v/>
      </c>
      <c r="H15" s="12" t="str">
        <v/>
      </c>
    </row>
    <row r="16" spans="2:8" x14ac:dyDescent="0.3">
      <c r="B16" s="7">
        <v>46242</v>
      </c>
      <c r="C16" s="8" t="str">
        <v>Sat</v>
      </c>
      <c r="D16" s="8">
        <v>2</v>
      </c>
      <c r="E16" s="8" t="b">
        <v>0</v>
      </c>
      <c r="F16" s="8" t="str">
        <v/>
      </c>
      <c r="G16" s="8" t="str">
        <v/>
      </c>
      <c r="H16" s="9" t="str">
        <v/>
      </c>
    </row>
    <row r="17" spans="2:8" x14ac:dyDescent="0.3">
      <c r="B17" s="10">
        <v>46243</v>
      </c>
      <c r="C17" s="11" t="str">
        <v>Sun</v>
      </c>
      <c r="D17" s="11">
        <v>2</v>
      </c>
      <c r="E17" s="8" t="b">
        <v>0</v>
      </c>
      <c r="F17" s="11" t="str">
        <v/>
      </c>
      <c r="G17" s="11" t="str">
        <v/>
      </c>
      <c r="H17" s="12" t="str">
        <v/>
      </c>
    </row>
    <row r="18" spans="2:8" x14ac:dyDescent="0.3">
      <c r="B18" s="7">
        <v>46244</v>
      </c>
      <c r="C18" s="8" t="str">
        <v>Mon</v>
      </c>
      <c r="D18" s="8">
        <v>3</v>
      </c>
      <c r="E18" s="8" t="b">
        <v>1</v>
      </c>
      <c r="F18" s="8" t="str">
        <v/>
      </c>
      <c r="G18" s="8" t="str">
        <v/>
      </c>
      <c r="H18" s="9" t="str">
        <v/>
      </c>
    </row>
    <row r="19" spans="2:8" x14ac:dyDescent="0.3">
      <c r="B19" s="10">
        <v>46245</v>
      </c>
      <c r="C19" s="11" t="str">
        <v>Tue</v>
      </c>
      <c r="D19" s="11">
        <v>3</v>
      </c>
      <c r="E19" s="8" t="b">
        <v>1</v>
      </c>
      <c r="F19" s="11" t="str">
        <v/>
      </c>
      <c r="G19" s="11" t="str">
        <v/>
      </c>
      <c r="H19" s="12" t="str">
        <v/>
      </c>
    </row>
    <row r="20" spans="2:8" x14ac:dyDescent="0.3">
      <c r="B20" s="7">
        <v>46246</v>
      </c>
      <c r="C20" s="8" t="str">
        <v>Wed</v>
      </c>
      <c r="D20" s="8">
        <v>3</v>
      </c>
      <c r="E20" s="8" t="b">
        <v>1</v>
      </c>
      <c r="F20" s="8" t="str">
        <v/>
      </c>
      <c r="G20" s="8" t="str">
        <v/>
      </c>
      <c r="H20" s="9" t="str">
        <v/>
      </c>
    </row>
    <row r="21" spans="2:8" x14ac:dyDescent="0.3">
      <c r="B21" s="10">
        <v>46247</v>
      </c>
      <c r="C21" s="11" t="str">
        <v>Thu</v>
      </c>
      <c r="D21" s="11">
        <v>3</v>
      </c>
      <c r="E21" s="8" t="b">
        <v>1</v>
      </c>
      <c r="F21" s="11" t="str">
        <v/>
      </c>
      <c r="G21" s="11" t="str">
        <v/>
      </c>
      <c r="H21" s="12" t="str">
        <v/>
      </c>
    </row>
    <row r="22" spans="2:8" x14ac:dyDescent="0.3">
      <c r="B22" s="7">
        <v>46248</v>
      </c>
      <c r="C22" s="8" t="str">
        <v>Fri</v>
      </c>
      <c r="D22" s="8">
        <v>3</v>
      </c>
      <c r="E22" s="8" t="b">
        <v>1</v>
      </c>
      <c r="F22" s="8" t="str">
        <v/>
      </c>
      <c r="G22" s="8" t="str">
        <v/>
      </c>
      <c r="H22" s="9" t="str">
        <v/>
      </c>
    </row>
    <row r="23" spans="2:8" x14ac:dyDescent="0.3">
      <c r="B23" s="10">
        <v>46249</v>
      </c>
      <c r="C23" s="11" t="str">
        <v>Sat</v>
      </c>
      <c r="D23" s="11">
        <v>3</v>
      </c>
      <c r="E23" s="8" t="b">
        <v>0</v>
      </c>
      <c r="F23" s="11" t="str">
        <v>Independence Day</v>
      </c>
      <c r="G23" s="11" t="str">
        <v/>
      </c>
      <c r="H23" s="12" t="str">
        <v/>
      </c>
    </row>
    <row r="24" spans="2:8" x14ac:dyDescent="0.3">
      <c r="B24" s="7">
        <v>46250</v>
      </c>
      <c r="C24" s="8" t="str">
        <v>Sun</v>
      </c>
      <c r="D24" s="8">
        <v>3</v>
      </c>
      <c r="E24" s="8" t="b">
        <v>0</v>
      </c>
      <c r="F24" s="8" t="str">
        <v/>
      </c>
      <c r="G24" s="8" t="str">
        <v/>
      </c>
      <c r="H24" s="9" t="str">
        <v/>
      </c>
    </row>
    <row r="25" spans="2:8" x14ac:dyDescent="0.3">
      <c r="B25" s="10">
        <v>46251</v>
      </c>
      <c r="C25" s="11" t="str">
        <v>Mon</v>
      </c>
      <c r="D25" s="11">
        <v>4</v>
      </c>
      <c r="E25" s="8" t="b">
        <v>1</v>
      </c>
      <c r="F25" s="11" t="str">
        <v/>
      </c>
      <c r="G25" s="11" t="str">
        <v/>
      </c>
      <c r="H25" s="12" t="str">
        <v/>
      </c>
    </row>
    <row r="26" spans="2:8" x14ac:dyDescent="0.3">
      <c r="B26" s="7">
        <v>46252</v>
      </c>
      <c r="C26" s="8" t="str">
        <v>Tue</v>
      </c>
      <c r="D26" s="8">
        <v>4</v>
      </c>
      <c r="E26" s="8" t="b">
        <v>1</v>
      </c>
      <c r="F26" s="8" t="str">
        <v/>
      </c>
      <c r="G26" s="8" t="str">
        <v/>
      </c>
      <c r="H26" s="9" t="str">
        <v/>
      </c>
    </row>
    <row r="27" spans="2:8" x14ac:dyDescent="0.3">
      <c r="B27" s="10">
        <v>46253</v>
      </c>
      <c r="C27" s="11" t="str">
        <v>Wed</v>
      </c>
      <c r="D27" s="11">
        <v>4</v>
      </c>
      <c r="E27" s="8" t="b">
        <v>1</v>
      </c>
      <c r="F27" s="11" t="str">
        <v/>
      </c>
      <c r="G27" s="11" t="str">
        <v/>
      </c>
      <c r="H27" s="12" t="str">
        <v/>
      </c>
    </row>
    <row r="28" spans="2:8" x14ac:dyDescent="0.3">
      <c r="B28" s="7">
        <v>46254</v>
      </c>
      <c r="C28" s="8" t="str">
        <v>Thu</v>
      </c>
      <c r="D28" s="8">
        <v>4</v>
      </c>
      <c r="E28" s="8" t="b">
        <v>1</v>
      </c>
      <c r="F28" s="8" t="str">
        <v/>
      </c>
      <c r="G28" s="8" t="str">
        <v/>
      </c>
      <c r="H28" s="9" t="str">
        <v/>
      </c>
    </row>
    <row r="29" spans="2:8" x14ac:dyDescent="0.3">
      <c r="B29" s="10">
        <v>46255</v>
      </c>
      <c r="C29" s="11" t="str">
        <v>Fri</v>
      </c>
      <c r="D29" s="11">
        <v>4</v>
      </c>
      <c r="E29" s="8" t="b">
        <v>1</v>
      </c>
      <c r="F29" s="11" t="str">
        <v/>
      </c>
      <c r="G29" s="11" t="str">
        <v/>
      </c>
      <c r="H29" s="12" t="str">
        <v/>
      </c>
    </row>
    <row r="30" spans="2:8" x14ac:dyDescent="0.3">
      <c r="B30" s="7">
        <v>46256</v>
      </c>
      <c r="C30" s="8" t="str">
        <v>Sat</v>
      </c>
      <c r="D30" s="8">
        <v>4</v>
      </c>
      <c r="E30" s="8" t="b">
        <v>0</v>
      </c>
      <c r="F30" s="8" t="str">
        <v/>
      </c>
      <c r="G30" s="8" t="str">
        <v/>
      </c>
      <c r="H30" s="9" t="str">
        <v/>
      </c>
    </row>
    <row r="31" spans="2:8" x14ac:dyDescent="0.3">
      <c r="B31" s="10">
        <v>46257</v>
      </c>
      <c r="C31" s="11" t="str">
        <v>Sun</v>
      </c>
      <c r="D31" s="11">
        <v>4</v>
      </c>
      <c r="E31" s="8" t="b">
        <v>0</v>
      </c>
      <c r="F31" s="11" t="str">
        <v/>
      </c>
      <c r="G31" s="11" t="str">
        <v/>
      </c>
      <c r="H31" s="12" t="str">
        <v/>
      </c>
    </row>
    <row r="32" spans="2:8" x14ac:dyDescent="0.3">
      <c r="B32" s="7">
        <v>46258</v>
      </c>
      <c r="C32" s="8" t="str">
        <v>Mon</v>
      </c>
      <c r="D32" s="8">
        <v>5</v>
      </c>
      <c r="E32" s="8" t="b">
        <v>1</v>
      </c>
      <c r="F32" s="8" t="str">
        <v/>
      </c>
      <c r="G32" s="8" t="str">
        <v/>
      </c>
      <c r="H32" s="9" t="str">
        <v/>
      </c>
    </row>
    <row r="33" spans="2:8" x14ac:dyDescent="0.3">
      <c r="B33" s="10">
        <v>46259</v>
      </c>
      <c r="C33" s="11" t="str">
        <v>Tue</v>
      </c>
      <c r="D33" s="11">
        <v>5</v>
      </c>
      <c r="E33" s="8" t="b">
        <v>1</v>
      </c>
      <c r="F33" s="11" t="str">
        <v/>
      </c>
      <c r="G33" s="11" t="str">
        <v/>
      </c>
      <c r="H33" s="12" t="str">
        <v/>
      </c>
    </row>
    <row r="34" spans="2:8" x14ac:dyDescent="0.3">
      <c r="B34" s="7">
        <v>46260</v>
      </c>
      <c r="C34" s="8" t="str">
        <v>Wed</v>
      </c>
      <c r="D34" s="8">
        <v>5</v>
      </c>
      <c r="E34" s="8" t="b">
        <v>1</v>
      </c>
      <c r="F34" s="8" t="str">
        <v/>
      </c>
      <c r="G34" s="8" t="str">
        <v/>
      </c>
      <c r="H34" s="9" t="str">
        <v/>
      </c>
    </row>
    <row r="35" spans="2:8" x14ac:dyDescent="0.3">
      <c r="B35" s="10">
        <v>46261</v>
      </c>
      <c r="C35" s="11" t="str">
        <v>Thu</v>
      </c>
      <c r="D35" s="11">
        <v>5</v>
      </c>
      <c r="E35" s="8" t="b">
        <v>1</v>
      </c>
      <c r="F35" s="11" t="str">
        <v/>
      </c>
      <c r="G35" s="11" t="str">
        <v/>
      </c>
      <c r="H35" s="12" t="str">
        <v/>
      </c>
    </row>
    <row r="36" spans="2:8" x14ac:dyDescent="0.3">
      <c r="B36" s="7">
        <v>46262</v>
      </c>
      <c r="C36" s="8" t="str">
        <v>Fri</v>
      </c>
      <c r="D36" s="8">
        <v>5</v>
      </c>
      <c r="E36" s="8" t="b">
        <v>1</v>
      </c>
      <c r="F36" s="8" t="str">
        <v/>
      </c>
      <c r="G36" s="8" t="str">
        <v/>
      </c>
      <c r="H36" s="9" t="str">
        <v/>
      </c>
    </row>
    <row r="37" spans="2:8" x14ac:dyDescent="0.3">
      <c r="B37" s="10">
        <v>46263</v>
      </c>
      <c r="C37" s="11" t="str">
        <v>Sat</v>
      </c>
      <c r="D37" s="11">
        <v>5</v>
      </c>
      <c r="E37" s="8" t="b">
        <v>0</v>
      </c>
      <c r="F37" s="11" t="str">
        <v/>
      </c>
      <c r="G37" s="11" t="str">
        <v/>
      </c>
      <c r="H37" s="12" t="str">
        <v/>
      </c>
    </row>
    <row r="38" spans="2:8" x14ac:dyDescent="0.3">
      <c r="B38" s="7">
        <v>46264</v>
      </c>
      <c r="C38" s="8" t="str">
        <v>Sun</v>
      </c>
      <c r="D38" s="8">
        <v>5</v>
      </c>
      <c r="E38" s="8" t="b">
        <v>0</v>
      </c>
      <c r="F38" s="8" t="str">
        <v/>
      </c>
      <c r="G38" s="8" t="str">
        <v/>
      </c>
      <c r="H38" s="9" t="str">
        <v/>
      </c>
    </row>
    <row r="39" spans="2:8" x14ac:dyDescent="0.3">
      <c r="B39" s="10">
        <v>46265</v>
      </c>
      <c r="C39" s="11" t="str">
        <v>Mon</v>
      </c>
      <c r="D39" s="11">
        <v>6</v>
      </c>
      <c r="E39" s="8" t="b">
        <v>1</v>
      </c>
      <c r="F39" s="11" t="str">
        <v/>
      </c>
      <c r="G39" s="11" t="str">
        <v/>
      </c>
      <c r="H39" s="12" t="str">
        <v/>
      </c>
    </row>
    <row r="40" spans="2:8" x14ac:dyDescent="0.3">
      <c r="B40" s="7">
        <v>46266</v>
      </c>
      <c r="C40" s="8" t="str">
        <v>Tue</v>
      </c>
      <c r="D40" s="8">
        <v>6</v>
      </c>
      <c r="E40" s="8" t="b">
        <v>1</v>
      </c>
      <c r="F40" s="8" t="str">
        <v/>
      </c>
      <c r="G40" s="8" t="str">
        <v/>
      </c>
      <c r="H40" s="9" t="str">
        <v/>
      </c>
    </row>
    <row r="41" spans="2:8" x14ac:dyDescent="0.3">
      <c r="B41" s="10">
        <v>46267</v>
      </c>
      <c r="C41" s="11" t="str">
        <v>Wed</v>
      </c>
      <c r="D41" s="11">
        <v>6</v>
      </c>
      <c r="E41" s="8" t="b">
        <v>1</v>
      </c>
      <c r="F41" s="11" t="str">
        <v/>
      </c>
      <c r="G41" s="11" t="str">
        <v/>
      </c>
      <c r="H41" s="12" t="str">
        <v/>
      </c>
    </row>
    <row r="42" spans="2:8" x14ac:dyDescent="0.3">
      <c r="B42" s="7">
        <v>46268</v>
      </c>
      <c r="C42" s="8" t="str">
        <v>Thu</v>
      </c>
      <c r="D42" s="8">
        <v>6</v>
      </c>
      <c r="E42" s="8" t="b">
        <v>1</v>
      </c>
      <c r="F42" s="8" t="str">
        <v/>
      </c>
      <c r="G42" s="8" t="str">
        <v/>
      </c>
      <c r="H42" s="9" t="str">
        <v/>
      </c>
    </row>
    <row r="43" spans="2:8" x14ac:dyDescent="0.3">
      <c r="B43" s="10">
        <v>46269</v>
      </c>
      <c r="C43" s="11" t="str">
        <v>Fri</v>
      </c>
      <c r="D43" s="11">
        <v>6</v>
      </c>
      <c r="E43" s="8" t="b">
        <v>0</v>
      </c>
      <c r="F43" s="11" t="str">
        <v>Janmashtami</v>
      </c>
      <c r="G43" s="11" t="str">
        <v/>
      </c>
      <c r="H43" s="12" t="str">
        <v/>
      </c>
    </row>
    <row r="44" spans="2:8" x14ac:dyDescent="0.3">
      <c r="B44" s="7">
        <v>46270</v>
      </c>
      <c r="C44" s="8" t="str">
        <v>Sat</v>
      </c>
      <c r="D44" s="8">
        <v>6</v>
      </c>
      <c r="E44" s="8" t="b">
        <v>0</v>
      </c>
      <c r="F44" s="8" t="str">
        <v/>
      </c>
      <c r="G44" s="8" t="str">
        <v/>
      </c>
      <c r="H44" s="9" t="str">
        <v/>
      </c>
    </row>
    <row r="45" spans="2:8" x14ac:dyDescent="0.3">
      <c r="B45" s="10">
        <v>46271</v>
      </c>
      <c r="C45" s="11" t="str">
        <v>Sun</v>
      </c>
      <c r="D45" s="11">
        <v>6</v>
      </c>
      <c r="E45" s="8" t="b">
        <v>0</v>
      </c>
      <c r="F45" s="11" t="str">
        <v/>
      </c>
      <c r="G45" s="11" t="str">
        <v/>
      </c>
      <c r="H45" s="12" t="str">
        <v/>
      </c>
    </row>
    <row r="46" spans="2:8" x14ac:dyDescent="0.3">
      <c r="B46" s="7">
        <v>46272</v>
      </c>
      <c r="C46" s="8" t="str">
        <v>Mon</v>
      </c>
      <c r="D46" s="8">
        <v>7</v>
      </c>
      <c r="E46" s="8" t="b">
        <v>1</v>
      </c>
      <c r="F46" s="8" t="str">
        <v/>
      </c>
      <c r="G46" s="8" t="str">
        <v/>
      </c>
      <c r="H46" s="9" t="str">
        <v/>
      </c>
    </row>
    <row r="47" spans="2:8" x14ac:dyDescent="0.3">
      <c r="B47" s="10">
        <v>46273</v>
      </c>
      <c r="C47" s="11" t="str">
        <v>Tue</v>
      </c>
      <c r="D47" s="11">
        <v>7</v>
      </c>
      <c r="E47" s="8" t="b">
        <v>1</v>
      </c>
      <c r="F47" s="11" t="str">
        <v/>
      </c>
      <c r="G47" s="11" t="str">
        <v/>
      </c>
      <c r="H47" s="12" t="str">
        <v/>
      </c>
    </row>
    <row r="48" spans="2:8" x14ac:dyDescent="0.3">
      <c r="B48" s="7">
        <v>46274</v>
      </c>
      <c r="C48" s="8" t="str">
        <v>Wed</v>
      </c>
      <c r="D48" s="8">
        <v>7</v>
      </c>
      <c r="E48" s="8" t="b">
        <v>1</v>
      </c>
      <c r="F48" s="8" t="str">
        <v/>
      </c>
      <c r="G48" s="8" t="str">
        <v/>
      </c>
      <c r="H48" s="9" t="str">
        <v/>
      </c>
    </row>
    <row r="49" spans="2:8" x14ac:dyDescent="0.3">
      <c r="B49" s="10">
        <v>46275</v>
      </c>
      <c r="C49" s="11" t="str">
        <v>Thu</v>
      </c>
      <c r="D49" s="11">
        <v>7</v>
      </c>
      <c r="E49" s="8" t="b">
        <v>1</v>
      </c>
      <c r="F49" s="11" t="str">
        <v/>
      </c>
      <c r="G49" s="11" t="str">
        <v/>
      </c>
      <c r="H49" s="12" t="str">
        <v/>
      </c>
    </row>
    <row r="50" spans="2:8" x14ac:dyDescent="0.3">
      <c r="B50" s="7">
        <v>46276</v>
      </c>
      <c r="C50" s="8" t="str">
        <v>Fri</v>
      </c>
      <c r="D50" s="8">
        <v>7</v>
      </c>
      <c r="E50" s="8" t="b">
        <v>1</v>
      </c>
      <c r="F50" s="8" t="str">
        <v/>
      </c>
      <c r="G50" s="8" t="str">
        <v/>
      </c>
      <c r="H50" s="9" t="str">
        <v/>
      </c>
    </row>
    <row r="51" spans="2:8" x14ac:dyDescent="0.3">
      <c r="B51" s="10">
        <v>46277</v>
      </c>
      <c r="C51" s="11" t="str">
        <v>Sat</v>
      </c>
      <c r="D51" s="11">
        <v>7</v>
      </c>
      <c r="E51" s="8" t="b">
        <v>0</v>
      </c>
      <c r="F51" s="11" t="str">
        <v/>
      </c>
      <c r="G51" s="11" t="str">
        <v/>
      </c>
      <c r="H51" s="12" t="str">
        <v/>
      </c>
    </row>
    <row r="52" spans="2:8" x14ac:dyDescent="0.3">
      <c r="B52" s="7">
        <v>46278</v>
      </c>
      <c r="C52" s="8" t="str">
        <v>Sun</v>
      </c>
      <c r="D52" s="8">
        <v>7</v>
      </c>
      <c r="E52" s="8" t="b">
        <v>0</v>
      </c>
      <c r="F52" s="8" t="str">
        <v/>
      </c>
      <c r="G52" s="8" t="str">
        <v/>
      </c>
      <c r="H52" s="9" t="str">
        <v/>
      </c>
    </row>
    <row r="53" spans="2:8" x14ac:dyDescent="0.3">
      <c r="B53" s="10">
        <v>46279</v>
      </c>
      <c r="C53" s="11" t="str">
        <v>Mon</v>
      </c>
      <c r="D53" s="11">
        <v>8</v>
      </c>
      <c r="E53" s="8" t="b">
        <v>1</v>
      </c>
      <c r="F53" s="11" t="str">
        <v/>
      </c>
      <c r="G53" s="11" t="str">
        <v/>
      </c>
      <c r="H53" s="12" t="str">
        <v/>
      </c>
    </row>
    <row r="54" spans="2:8" x14ac:dyDescent="0.3">
      <c r="B54" s="7">
        <v>46280</v>
      </c>
      <c r="C54" s="8" t="str">
        <v>Tue</v>
      </c>
      <c r="D54" s="8">
        <v>8</v>
      </c>
      <c r="E54" s="8" t="b">
        <v>1</v>
      </c>
      <c r="F54" s="8" t="str">
        <v/>
      </c>
      <c r="G54" s="8" t="str">
        <v/>
      </c>
      <c r="H54" s="9" t="str">
        <v/>
      </c>
    </row>
    <row r="55" spans="2:8" x14ac:dyDescent="0.3">
      <c r="B55" s="10">
        <v>46281</v>
      </c>
      <c r="C55" s="11" t="str">
        <v>Wed</v>
      </c>
      <c r="D55" s="11">
        <v>8</v>
      </c>
      <c r="E55" s="8" t="b">
        <v>1</v>
      </c>
      <c r="F55" s="11" t="str">
        <v/>
      </c>
      <c r="G55" s="11" t="str">
        <v/>
      </c>
      <c r="H55" s="12" t="str">
        <v/>
      </c>
    </row>
    <row r="56" spans="2:8" x14ac:dyDescent="0.3">
      <c r="B56" s="7">
        <v>46282</v>
      </c>
      <c r="C56" s="8" t="str">
        <v>Thu</v>
      </c>
      <c r="D56" s="8">
        <v>8</v>
      </c>
      <c r="E56" s="8" t="b">
        <v>1</v>
      </c>
      <c r="F56" s="8" t="str">
        <v/>
      </c>
      <c r="G56" s="8" t="str">
        <v/>
      </c>
      <c r="H56" s="9" t="str">
        <v/>
      </c>
    </row>
    <row r="57" spans="2:8" x14ac:dyDescent="0.3">
      <c r="B57" s="10">
        <v>46283</v>
      </c>
      <c r="C57" s="11" t="str">
        <v>Fri</v>
      </c>
      <c r="D57" s="11">
        <v>8</v>
      </c>
      <c r="E57" s="8" t="b">
        <v>1</v>
      </c>
      <c r="F57" s="11" t="str">
        <v/>
      </c>
      <c r="G57" s="11" t="str">
        <v/>
      </c>
      <c r="H57" s="12" t="str">
        <v/>
      </c>
    </row>
    <row r="58" spans="2:8" x14ac:dyDescent="0.3">
      <c r="B58" s="7">
        <v>46284</v>
      </c>
      <c r="C58" s="8" t="str">
        <v>Sat</v>
      </c>
      <c r="D58" s="8">
        <v>8</v>
      </c>
      <c r="E58" s="8" t="b">
        <v>0</v>
      </c>
      <c r="F58" s="8" t="str">
        <v/>
      </c>
      <c r="G58" s="8" t="str">
        <v/>
      </c>
      <c r="H58" s="9" t="str">
        <v/>
      </c>
    </row>
    <row r="59" spans="2:8" x14ac:dyDescent="0.3">
      <c r="B59" s="10">
        <v>46285</v>
      </c>
      <c r="C59" s="11" t="str">
        <v>Sun</v>
      </c>
      <c r="D59" s="11">
        <v>8</v>
      </c>
      <c r="E59" s="8" t="b">
        <v>0</v>
      </c>
      <c r="F59" s="11" t="str">
        <v/>
      </c>
      <c r="G59" s="11" t="str">
        <v/>
      </c>
      <c r="H59" s="12" t="str">
        <v/>
      </c>
    </row>
    <row r="60" spans="2:8" x14ac:dyDescent="0.3">
      <c r="B60" s="7">
        <v>46286</v>
      </c>
      <c r="C60" s="8" t="str">
        <v>Mon</v>
      </c>
      <c r="D60" s="8">
        <v>9</v>
      </c>
      <c r="E60" s="8" t="b">
        <v>1</v>
      </c>
      <c r="F60" s="8" t="str">
        <v/>
      </c>
      <c r="G60" s="8" t="str">
        <v/>
      </c>
      <c r="H60" s="9" t="str">
        <v/>
      </c>
    </row>
    <row r="61" spans="2:8" x14ac:dyDescent="0.3">
      <c r="B61" s="10">
        <v>46287</v>
      </c>
      <c r="C61" s="11" t="str">
        <v>Tue</v>
      </c>
      <c r="D61" s="11">
        <v>9</v>
      </c>
      <c r="E61" s="8" t="b">
        <v>1</v>
      </c>
      <c r="F61" s="11" t="str">
        <v/>
      </c>
      <c r="G61" s="11" t="str">
        <v/>
      </c>
      <c r="H61" s="12" t="str">
        <v/>
      </c>
    </row>
    <row r="62" spans="2:8" x14ac:dyDescent="0.3">
      <c r="B62" s="7">
        <v>46288</v>
      </c>
      <c r="C62" s="8" t="str">
        <v>Wed</v>
      </c>
      <c r="D62" s="8">
        <v>9</v>
      </c>
      <c r="E62" s="8" t="b">
        <v>1</v>
      </c>
      <c r="F62" s="8" t="str">
        <v/>
      </c>
      <c r="G62" s="8" t="str">
        <v/>
      </c>
      <c r="H62" s="9" t="str">
        <v/>
      </c>
    </row>
    <row r="63" spans="2:8" x14ac:dyDescent="0.3">
      <c r="B63" s="10">
        <v>46289</v>
      </c>
      <c r="C63" s="11" t="str">
        <v>Thu</v>
      </c>
      <c r="D63" s="11">
        <v>9</v>
      </c>
      <c r="E63" s="8" t="b">
        <v>1</v>
      </c>
      <c r="F63" s="11" t="str">
        <v/>
      </c>
      <c r="G63" s="11" t="str">
        <v/>
      </c>
      <c r="H63" s="12" t="str">
        <v/>
      </c>
    </row>
    <row r="64" spans="2:8" x14ac:dyDescent="0.3">
      <c r="B64" s="7">
        <v>46290</v>
      </c>
      <c r="C64" s="8" t="str">
        <v>Fri</v>
      </c>
      <c r="D64" s="8">
        <v>9</v>
      </c>
      <c r="E64" s="8" t="b">
        <v>1</v>
      </c>
      <c r="F64" s="8" t="str">
        <v/>
      </c>
      <c r="G64" s="8" t="str">
        <v/>
      </c>
      <c r="H64" s="9" t="str">
        <v/>
      </c>
    </row>
    <row r="65" spans="2:8" x14ac:dyDescent="0.3">
      <c r="B65" s="10">
        <v>46291</v>
      </c>
      <c r="C65" s="11" t="str">
        <v>Sat</v>
      </c>
      <c r="D65" s="11">
        <v>9</v>
      </c>
      <c r="E65" s="8" t="b">
        <v>0</v>
      </c>
      <c r="F65" s="11" t="str">
        <v/>
      </c>
      <c r="G65" s="11" t="str">
        <v/>
      </c>
      <c r="H65" s="12" t="str">
        <v/>
      </c>
    </row>
    <row r="66" spans="2:8" x14ac:dyDescent="0.3">
      <c r="B66" s="7">
        <v>46292</v>
      </c>
      <c r="C66" s="8" t="str">
        <v>Sun</v>
      </c>
      <c r="D66" s="8">
        <v>9</v>
      </c>
      <c r="E66" s="8" t="b">
        <v>0</v>
      </c>
      <c r="F66" s="8" t="str">
        <v/>
      </c>
      <c r="G66" s="8" t="str">
        <v/>
      </c>
      <c r="H66" s="9" t="str">
        <v/>
      </c>
    </row>
    <row r="67" spans="2:8" x14ac:dyDescent="0.3">
      <c r="B67" s="10">
        <v>46293</v>
      </c>
      <c r="C67" s="11" t="str">
        <v>Mon</v>
      </c>
      <c r="D67" s="11">
        <v>10</v>
      </c>
      <c r="E67" s="8" t="b">
        <v>1</v>
      </c>
      <c r="F67" s="11" t="str">
        <v/>
      </c>
      <c r="G67" s="11" t="str">
        <v/>
      </c>
      <c r="H67" s="12" t="str">
        <v/>
      </c>
    </row>
    <row r="68" spans="2:8" x14ac:dyDescent="0.3">
      <c r="B68" s="7">
        <v>46294</v>
      </c>
      <c r="C68" s="8" t="str">
        <v>Tue</v>
      </c>
      <c r="D68" s="8">
        <v>10</v>
      </c>
      <c r="E68" s="8" t="b">
        <v>1</v>
      </c>
      <c r="F68" s="8" t="str">
        <v/>
      </c>
      <c r="G68" s="8" t="str">
        <v/>
      </c>
      <c r="H68" s="9" t="str">
        <v/>
      </c>
    </row>
    <row r="69" spans="2:8" x14ac:dyDescent="0.3">
      <c r="B69" s="10">
        <v>46295</v>
      </c>
      <c r="C69" s="11" t="str">
        <v>Wed</v>
      </c>
      <c r="D69" s="11">
        <v>10</v>
      </c>
      <c r="E69" s="8" t="b">
        <v>1</v>
      </c>
      <c r="F69" s="11" t="str">
        <v/>
      </c>
      <c r="G69" s="11" t="str">
        <v/>
      </c>
      <c r="H69" s="12" t="str">
        <v/>
      </c>
    </row>
    <row r="70" spans="2:8" x14ac:dyDescent="0.3">
      <c r="B70" s="7">
        <v>46296</v>
      </c>
      <c r="C70" s="8" t="str">
        <v>Thu</v>
      </c>
      <c r="D70" s="8">
        <v>10</v>
      </c>
      <c r="E70" s="8" t="b">
        <v>1</v>
      </c>
      <c r="F70" s="8" t="str">
        <v/>
      </c>
      <c r="G70" s="8" t="str">
        <v>Exam</v>
      </c>
      <c r="H70" s="9" t="str">
        <v>Mid-Sem Exams</v>
      </c>
    </row>
    <row r="71" spans="2:8" x14ac:dyDescent="0.3">
      <c r="B71" s="10">
        <v>46297</v>
      </c>
      <c r="C71" s="11" t="str">
        <v>Fri</v>
      </c>
      <c r="D71" s="11">
        <v>10</v>
      </c>
      <c r="E71" s="8" t="b">
        <v>0</v>
      </c>
      <c r="F71" s="11" t="str">
        <v>Mahatma Gandhi's Birthday</v>
      </c>
      <c r="G71" s="11" t="str">
        <v>Exam</v>
      </c>
      <c r="H71" s="12" t="str">
        <v>Mid-Sem Exams</v>
      </c>
    </row>
    <row r="72" spans="2:8" x14ac:dyDescent="0.3">
      <c r="B72" s="7">
        <v>46298</v>
      </c>
      <c r="C72" s="8" t="str">
        <v>Sat</v>
      </c>
      <c r="D72" s="8">
        <v>10</v>
      </c>
      <c r="E72" s="8" t="b">
        <v>0</v>
      </c>
      <c r="F72" s="8" t="str">
        <v/>
      </c>
      <c r="G72" s="8" t="str">
        <v>Exam</v>
      </c>
      <c r="H72" s="9" t="str">
        <v>Mid-Sem Exams</v>
      </c>
    </row>
    <row r="73" spans="2:8" x14ac:dyDescent="0.3">
      <c r="B73" s="10">
        <v>46299</v>
      </c>
      <c r="C73" s="11" t="str">
        <v>Sun</v>
      </c>
      <c r="D73" s="11">
        <v>10</v>
      </c>
      <c r="E73" s="8" t="b">
        <v>0</v>
      </c>
      <c r="F73" s="11" t="str">
        <v/>
      </c>
      <c r="G73" s="11" t="str">
        <v>Exam</v>
      </c>
      <c r="H73" s="12" t="str">
        <v>Mid-Sem Exams</v>
      </c>
    </row>
    <row r="74" spans="2:8" x14ac:dyDescent="0.3">
      <c r="B74" s="7">
        <v>46300</v>
      </c>
      <c r="C74" s="8" t="str">
        <v>Mon</v>
      </c>
      <c r="D74" s="8">
        <v>11</v>
      </c>
      <c r="E74" s="8" t="b">
        <v>1</v>
      </c>
      <c r="F74" s="8" t="str">
        <v/>
      </c>
      <c r="G74" s="8" t="str">
        <v>Exam</v>
      </c>
      <c r="H74" s="9" t="str">
        <v>Mid-Sem Exams</v>
      </c>
    </row>
    <row r="75" spans="2:8" x14ac:dyDescent="0.3">
      <c r="B75" s="10">
        <v>46301</v>
      </c>
      <c r="C75" s="11" t="str">
        <v>Tue</v>
      </c>
      <c r="D75" s="11">
        <v>11</v>
      </c>
      <c r="E75" s="8" t="b">
        <v>1</v>
      </c>
      <c r="F75" s="11" t="str">
        <v/>
      </c>
      <c r="G75" s="11" t="str">
        <v>Exam</v>
      </c>
      <c r="H75" s="12" t="str">
        <v>Mid-Sem Exams</v>
      </c>
    </row>
    <row r="76" spans="2:8" x14ac:dyDescent="0.3">
      <c r="B76" s="7">
        <v>46302</v>
      </c>
      <c r="C76" s="8" t="str">
        <v>Wed</v>
      </c>
      <c r="D76" s="8">
        <v>11</v>
      </c>
      <c r="E76" s="8" t="b">
        <v>1</v>
      </c>
      <c r="F76" s="8" t="str">
        <v/>
      </c>
      <c r="G76" s="8" t="str">
        <v>Exam</v>
      </c>
      <c r="H76" s="9" t="str">
        <v>Mid-Sem Exams</v>
      </c>
    </row>
    <row r="77" spans="2:8" x14ac:dyDescent="0.3">
      <c r="B77" s="10">
        <v>46303</v>
      </c>
      <c r="C77" s="11" t="str">
        <v>Thu</v>
      </c>
      <c r="D77" s="11">
        <v>11</v>
      </c>
      <c r="E77" s="8" t="b">
        <v>1</v>
      </c>
      <c r="F77" s="11" t="str">
        <v/>
      </c>
      <c r="G77" s="11" t="str">
        <v>Exam</v>
      </c>
      <c r="H77" s="12" t="str">
        <v>Mid-Sem Exams</v>
      </c>
    </row>
    <row r="78" spans="2:8" x14ac:dyDescent="0.3">
      <c r="B78" s="7">
        <v>46304</v>
      </c>
      <c r="C78" s="8" t="str">
        <v>Fri</v>
      </c>
      <c r="D78" s="8">
        <v>11</v>
      </c>
      <c r="E78" s="8" t="b">
        <v>1</v>
      </c>
      <c r="F78" s="8" t="str">
        <v/>
      </c>
      <c r="G78" s="8" t="str">
        <v/>
      </c>
      <c r="H78" s="9" t="str">
        <v/>
      </c>
    </row>
    <row r="79" spans="2:8" x14ac:dyDescent="0.3">
      <c r="B79" s="10">
        <v>46305</v>
      </c>
      <c r="C79" s="11" t="str">
        <v>Sat</v>
      </c>
      <c r="D79" s="11">
        <v>11</v>
      </c>
      <c r="E79" s="8" t="b">
        <v>0</v>
      </c>
      <c r="F79" s="11" t="str">
        <v/>
      </c>
      <c r="G79" s="11" t="str">
        <v/>
      </c>
      <c r="H79" s="12" t="str">
        <v/>
      </c>
    </row>
    <row r="80" spans="2:8" x14ac:dyDescent="0.3">
      <c r="B80" s="7">
        <v>46306</v>
      </c>
      <c r="C80" s="8" t="str">
        <v>Sun</v>
      </c>
      <c r="D80" s="8">
        <v>11</v>
      </c>
      <c r="E80" s="8" t="b">
        <v>0</v>
      </c>
      <c r="F80" s="8" t="str">
        <v/>
      </c>
      <c r="G80" s="8" t="str">
        <v/>
      </c>
      <c r="H80" s="9" t="str">
        <v/>
      </c>
    </row>
    <row r="81" spans="2:8" x14ac:dyDescent="0.3">
      <c r="B81" s="10">
        <v>46307</v>
      </c>
      <c r="C81" s="11" t="str">
        <v>Mon</v>
      </c>
      <c r="D81" s="11">
        <v>12</v>
      </c>
      <c r="E81" s="8" t="b">
        <v>1</v>
      </c>
      <c r="F81" s="11" t="str">
        <v/>
      </c>
      <c r="G81" s="11" t="str">
        <v/>
      </c>
      <c r="H81" s="12" t="str">
        <v/>
      </c>
    </row>
    <row r="82" spans="2:8" x14ac:dyDescent="0.3">
      <c r="B82" s="7">
        <v>46308</v>
      </c>
      <c r="C82" s="8" t="str">
        <v>Tue</v>
      </c>
      <c r="D82" s="8">
        <v>12</v>
      </c>
      <c r="E82" s="8" t="b">
        <v>1</v>
      </c>
      <c r="F82" s="8" t="str">
        <v/>
      </c>
      <c r="G82" s="8" t="str">
        <v/>
      </c>
      <c r="H82" s="9" t="str">
        <v/>
      </c>
    </row>
    <row r="83" spans="2:8" x14ac:dyDescent="0.3">
      <c r="B83" s="10">
        <v>46309</v>
      </c>
      <c r="C83" s="11" t="str">
        <v>Wed</v>
      </c>
      <c r="D83" s="11">
        <v>12</v>
      </c>
      <c r="E83" s="8" t="b">
        <v>1</v>
      </c>
      <c r="F83" s="11" t="str">
        <v/>
      </c>
      <c r="G83" s="11" t="str">
        <v/>
      </c>
      <c r="H83" s="12" t="str">
        <v/>
      </c>
    </row>
    <row r="84" spans="2:8" x14ac:dyDescent="0.3">
      <c r="B84" s="7">
        <v>46310</v>
      </c>
      <c r="C84" s="8" t="str">
        <v>Thu</v>
      </c>
      <c r="D84" s="8">
        <v>12</v>
      </c>
      <c r="E84" s="8" t="b">
        <v>1</v>
      </c>
      <c r="F84" s="8" t="str">
        <v/>
      </c>
      <c r="G84" s="8" t="str">
        <v/>
      </c>
      <c r="H84" s="9" t="str">
        <v/>
      </c>
    </row>
    <row r="85" spans="2:8" x14ac:dyDescent="0.3">
      <c r="B85" s="10">
        <v>46311</v>
      </c>
      <c r="C85" s="11" t="str">
        <v>Fri</v>
      </c>
      <c r="D85" s="11">
        <v>12</v>
      </c>
      <c r="E85" s="8" t="b">
        <v>1</v>
      </c>
      <c r="F85" s="11" t="str">
        <v/>
      </c>
      <c r="G85" s="11" t="str">
        <v/>
      </c>
      <c r="H85" s="12" t="str">
        <v/>
      </c>
    </row>
    <row r="86" spans="2:8" x14ac:dyDescent="0.3">
      <c r="B86" s="7">
        <v>46312</v>
      </c>
      <c r="C86" s="8" t="str">
        <v>Sat</v>
      </c>
      <c r="D86" s="8">
        <v>12</v>
      </c>
      <c r="E86" s="8" t="b">
        <v>0</v>
      </c>
      <c r="F86" s="8" t="str">
        <v/>
      </c>
      <c r="G86" s="8" t="str">
        <v/>
      </c>
      <c r="H86" s="9" t="str">
        <v/>
      </c>
    </row>
    <row r="87" spans="2:8" x14ac:dyDescent="0.3">
      <c r="B87" s="10">
        <v>46313</v>
      </c>
      <c r="C87" s="11" t="str">
        <v>Sun</v>
      </c>
      <c r="D87" s="11">
        <v>12</v>
      </c>
      <c r="E87" s="8" t="b">
        <v>0</v>
      </c>
      <c r="F87" s="11" t="str">
        <v/>
      </c>
      <c r="G87" s="11" t="str">
        <v/>
      </c>
      <c r="H87" s="12" t="str">
        <v/>
      </c>
    </row>
    <row r="88" spans="2:8" x14ac:dyDescent="0.3">
      <c r="B88" s="7">
        <v>46314</v>
      </c>
      <c r="C88" s="8" t="str">
        <v>Mon</v>
      </c>
      <c r="D88" s="8">
        <v>13</v>
      </c>
      <c r="E88" s="8" t="b">
        <v>1</v>
      </c>
      <c r="F88" s="8" t="str">
        <v/>
      </c>
      <c r="G88" s="8" t="str">
        <v/>
      </c>
      <c r="H88" s="9" t="str">
        <v/>
      </c>
    </row>
    <row r="89" spans="2:8" x14ac:dyDescent="0.3">
      <c r="B89" s="10">
        <v>46315</v>
      </c>
      <c r="C89" s="11" t="str">
        <v>Tue</v>
      </c>
      <c r="D89" s="11">
        <v>13</v>
      </c>
      <c r="E89" s="8" t="b">
        <v>0</v>
      </c>
      <c r="F89" s="11" t="str">
        <v>Dussehra</v>
      </c>
      <c r="G89" s="11" t="str">
        <v/>
      </c>
      <c r="H89" s="12" t="str">
        <v/>
      </c>
    </row>
    <row r="90" spans="2:8" x14ac:dyDescent="0.3">
      <c r="B90" s="7">
        <v>46316</v>
      </c>
      <c r="C90" s="8" t="str">
        <v>Wed</v>
      </c>
      <c r="D90" s="8">
        <v>13</v>
      </c>
      <c r="E90" s="8" t="b">
        <v>1</v>
      </c>
      <c r="F90" s="8" t="str">
        <v/>
      </c>
      <c r="G90" s="8" t="str">
        <v/>
      </c>
      <c r="H90" s="9" t="str">
        <v/>
      </c>
    </row>
    <row r="91" spans="2:8" x14ac:dyDescent="0.3">
      <c r="B91" s="10">
        <v>46317</v>
      </c>
      <c r="C91" s="11" t="str">
        <v>Thu</v>
      </c>
      <c r="D91" s="11">
        <v>13</v>
      </c>
      <c r="E91" s="8" t="b">
        <v>1</v>
      </c>
      <c r="F91" s="11" t="str">
        <v/>
      </c>
      <c r="G91" s="11" t="str">
        <v/>
      </c>
      <c r="H91" s="12" t="str">
        <v/>
      </c>
    </row>
    <row r="92" spans="2:8" x14ac:dyDescent="0.3">
      <c r="B92" s="7">
        <v>46318</v>
      </c>
      <c r="C92" s="8" t="str">
        <v>Fri</v>
      </c>
      <c r="D92" s="8">
        <v>13</v>
      </c>
      <c r="E92" s="8" t="b">
        <v>1</v>
      </c>
      <c r="F92" s="8" t="str">
        <v/>
      </c>
      <c r="G92" s="8" t="str">
        <v/>
      </c>
      <c r="H92" s="9" t="str">
        <v/>
      </c>
    </row>
    <row r="93" spans="2:8" x14ac:dyDescent="0.3">
      <c r="B93" s="10">
        <v>46319</v>
      </c>
      <c r="C93" s="11" t="str">
        <v>Sat</v>
      </c>
      <c r="D93" s="11">
        <v>13</v>
      </c>
      <c r="E93" s="8" t="b">
        <v>0</v>
      </c>
      <c r="F93" s="11" t="str">
        <v/>
      </c>
      <c r="G93" s="11" t="str">
        <v/>
      </c>
      <c r="H93" s="12" t="str">
        <v/>
      </c>
    </row>
    <row r="94" spans="2:8" x14ac:dyDescent="0.3">
      <c r="B94" s="7">
        <v>46320</v>
      </c>
      <c r="C94" s="8" t="str">
        <v>Sun</v>
      </c>
      <c r="D94" s="8">
        <v>13</v>
      </c>
      <c r="E94" s="8" t="b">
        <v>0</v>
      </c>
      <c r="F94" s="8" t="str">
        <v/>
      </c>
      <c r="G94" s="8" t="str">
        <v/>
      </c>
      <c r="H94" s="9" t="str">
        <v/>
      </c>
    </row>
    <row r="95" spans="2:8" x14ac:dyDescent="0.3">
      <c r="B95" s="10">
        <v>46321</v>
      </c>
      <c r="C95" s="11" t="str">
        <v>Mon</v>
      </c>
      <c r="D95" s="11">
        <v>14</v>
      </c>
      <c r="E95" s="8" t="b">
        <v>0</v>
      </c>
      <c r="F95" s="11" t="str">
        <v>Maharishi Valmiki Birthday</v>
      </c>
      <c r="G95" s="11" t="str">
        <v/>
      </c>
      <c r="H95" s="12" t="str">
        <v/>
      </c>
    </row>
    <row r="96" spans="2:8" x14ac:dyDescent="0.3">
      <c r="B96" s="7">
        <v>46322</v>
      </c>
      <c r="C96" s="8" t="str">
        <v>Tue</v>
      </c>
      <c r="D96" s="8">
        <v>14</v>
      </c>
      <c r="E96" s="8" t="b">
        <v>1</v>
      </c>
      <c r="F96" s="8" t="str">
        <v/>
      </c>
      <c r="G96" s="8" t="str">
        <v/>
      </c>
      <c r="H96" s="9" t="str">
        <v/>
      </c>
    </row>
    <row r="97" spans="2:8" x14ac:dyDescent="0.3">
      <c r="B97" s="10">
        <v>46323</v>
      </c>
      <c r="C97" s="11" t="str">
        <v>Wed</v>
      </c>
      <c r="D97" s="11">
        <v>14</v>
      </c>
      <c r="E97" s="8" t="b">
        <v>1</v>
      </c>
      <c r="F97" s="11" t="str">
        <v/>
      </c>
      <c r="G97" s="11" t="str">
        <v/>
      </c>
      <c r="H97" s="12" t="str">
        <v/>
      </c>
    </row>
    <row r="98" spans="2:8" x14ac:dyDescent="0.3">
      <c r="B98" s="7">
        <v>46324</v>
      </c>
      <c r="C98" s="8" t="str">
        <v>Thu</v>
      </c>
      <c r="D98" s="8">
        <v>14</v>
      </c>
      <c r="E98" s="8" t="b">
        <v>1</v>
      </c>
      <c r="F98" s="8" t="str">
        <v/>
      </c>
      <c r="G98" s="8" t="str">
        <v/>
      </c>
      <c r="H98" s="9" t="str">
        <v/>
      </c>
    </row>
    <row r="99" spans="2:8" x14ac:dyDescent="0.3">
      <c r="B99" s="10">
        <v>46325</v>
      </c>
      <c r="C99" s="11" t="str">
        <v>Fri</v>
      </c>
      <c r="D99" s="11">
        <v>14</v>
      </c>
      <c r="E99" s="8" t="b">
        <v>1</v>
      </c>
      <c r="F99" s="11" t="str">
        <v/>
      </c>
      <c r="G99" s="11" t="str">
        <v>Fest</v>
      </c>
      <c r="H99" s="12" t="str">
        <v>Pecfest Day 1</v>
      </c>
    </row>
    <row r="100" spans="2:8" x14ac:dyDescent="0.3">
      <c r="B100" s="7">
        <v>46326</v>
      </c>
      <c r="C100" s="8" t="str">
        <v>Sat</v>
      </c>
      <c r="D100" s="8">
        <v>14</v>
      </c>
      <c r="E100" s="8" t="b">
        <v>0</v>
      </c>
      <c r="F100" s="8" t="str">
        <v/>
      </c>
      <c r="G100" s="8" t="str">
        <v>Fest</v>
      </c>
      <c r="H100" s="9" t="str">
        <v>Pecfest Day 2</v>
      </c>
    </row>
    <row r="101" spans="2:8" x14ac:dyDescent="0.3">
      <c r="B101" s="10">
        <v>46327</v>
      </c>
      <c r="C101" s="11" t="str">
        <v>Sun</v>
      </c>
      <c r="D101" s="11">
        <v>14</v>
      </c>
      <c r="E101" s="8" t="b">
        <v>0</v>
      </c>
      <c r="F101" s="11" t="str">
        <v/>
      </c>
      <c r="G101" s="11" t="str">
        <v>Fest</v>
      </c>
      <c r="H101" s="12" t="str">
        <v>Pecfest Day 3</v>
      </c>
    </row>
    <row r="102" spans="2:8" x14ac:dyDescent="0.3">
      <c r="B102" s="7">
        <v>46328</v>
      </c>
      <c r="C102" s="8" t="str">
        <v>Mon</v>
      </c>
      <c r="D102" s="8">
        <v>15</v>
      </c>
      <c r="E102" s="8" t="b">
        <v>1</v>
      </c>
      <c r="F102" s="8" t="str">
        <v/>
      </c>
      <c r="G102" s="8" t="str">
        <v/>
      </c>
      <c r="H102" s="9" t="str">
        <v/>
      </c>
    </row>
    <row r="103" spans="2:8" x14ac:dyDescent="0.3">
      <c r="B103" s="10">
        <v>46329</v>
      </c>
      <c r="C103" s="11" t="str">
        <v>Tue</v>
      </c>
      <c r="D103" s="11">
        <v>15</v>
      </c>
      <c r="E103" s="8" t="b">
        <v>1</v>
      </c>
      <c r="F103" s="11" t="str">
        <v/>
      </c>
      <c r="G103" s="11" t="str">
        <v/>
      </c>
      <c r="H103" s="12" t="str">
        <v/>
      </c>
    </row>
    <row r="104" spans="2:8" x14ac:dyDescent="0.3">
      <c r="B104" s="7">
        <v>46330</v>
      </c>
      <c r="C104" s="8" t="str">
        <v>Wed</v>
      </c>
      <c r="D104" s="8">
        <v>15</v>
      </c>
      <c r="E104" s="8" t="b">
        <v>1</v>
      </c>
      <c r="F104" s="8" t="str">
        <v/>
      </c>
      <c r="G104" s="8" t="str">
        <v/>
      </c>
      <c r="H104" s="9" t="str">
        <v/>
      </c>
    </row>
    <row r="105" spans="2:8" x14ac:dyDescent="0.3">
      <c r="B105" s="10">
        <v>46331</v>
      </c>
      <c r="C105" s="11" t="str">
        <v>Thu</v>
      </c>
      <c r="D105" s="11">
        <v>15</v>
      </c>
      <c r="E105" s="8" t="b">
        <v>1</v>
      </c>
      <c r="F105" s="11" t="str">
        <v/>
      </c>
      <c r="G105" s="11" t="str">
        <v/>
      </c>
      <c r="H105" s="12" t="str">
        <v/>
      </c>
    </row>
    <row r="106" spans="2:8" x14ac:dyDescent="0.3">
      <c r="B106" s="7">
        <v>46332</v>
      </c>
      <c r="C106" s="8" t="str">
        <v>Fri</v>
      </c>
      <c r="D106" s="8">
        <v>15</v>
      </c>
      <c r="E106" s="8" t="b">
        <v>0</v>
      </c>
      <c r="F106" s="8" t="str">
        <v>Mid-Semester Break Day 1</v>
      </c>
      <c r="G106" s="8" t="str">
        <v/>
      </c>
      <c r="H106" s="9" t="str">
        <v/>
      </c>
    </row>
    <row r="107" spans="2:8" x14ac:dyDescent="0.3">
      <c r="B107" s="10">
        <v>46333</v>
      </c>
      <c r="C107" s="11" t="str">
        <v>Sat</v>
      </c>
      <c r="D107" s="11">
        <v>15</v>
      </c>
      <c r="E107" s="8" t="b">
        <v>0</v>
      </c>
      <c r="F107" s="11" t="str">
        <v>Mid-Semester Break Day 2</v>
      </c>
      <c r="G107" s="11" t="str">
        <v/>
      </c>
      <c r="H107" s="12" t="str">
        <v/>
      </c>
    </row>
    <row r="108" spans="2:8" x14ac:dyDescent="0.3">
      <c r="B108" s="7">
        <v>46334</v>
      </c>
      <c r="C108" s="8" t="str">
        <v>Sun</v>
      </c>
      <c r="D108" s="8">
        <v>15</v>
      </c>
      <c r="E108" s="8" t="b">
        <v>0</v>
      </c>
      <c r="F108" s="8" t="str">
        <v>Diwali</v>
      </c>
      <c r="G108" s="8" t="str">
        <v/>
      </c>
      <c r="H108" s="9" t="str">
        <v/>
      </c>
    </row>
    <row r="109" spans="2:8" x14ac:dyDescent="0.3">
      <c r="B109" s="10">
        <v>46335</v>
      </c>
      <c r="C109" s="11" t="str">
        <v>Mon</v>
      </c>
      <c r="D109" s="11">
        <v>16</v>
      </c>
      <c r="E109" s="8" t="b">
        <v>0</v>
      </c>
      <c r="F109" s="11" t="str">
        <v>Mid-Semester Break Day 4</v>
      </c>
      <c r="G109" s="11" t="str">
        <v/>
      </c>
      <c r="H109" s="12" t="str">
        <v/>
      </c>
    </row>
    <row r="110" spans="2:8" x14ac:dyDescent="0.3">
      <c r="B110" s="7">
        <v>46336</v>
      </c>
      <c r="C110" s="8" t="str">
        <v>Tue</v>
      </c>
      <c r="D110" s="8">
        <v>16</v>
      </c>
      <c r="E110" s="8" t="b">
        <v>0</v>
      </c>
      <c r="F110" s="8" t="str">
        <v>Mid-Semester Break Day 5</v>
      </c>
      <c r="G110" s="8" t="str">
        <v/>
      </c>
      <c r="H110" s="9" t="str">
        <v/>
      </c>
    </row>
    <row r="111" spans="2:8" x14ac:dyDescent="0.3">
      <c r="B111" s="10">
        <v>46337</v>
      </c>
      <c r="C111" s="11" t="str">
        <v>Wed</v>
      </c>
      <c r="D111" s="11">
        <v>16</v>
      </c>
      <c r="E111" s="8" t="b">
        <v>0</v>
      </c>
      <c r="F111" s="11" t="str">
        <v>Mid-Semester Break Day 6</v>
      </c>
      <c r="G111" s="11" t="str">
        <v/>
      </c>
      <c r="H111" s="12" t="str">
        <v/>
      </c>
    </row>
    <row r="112" spans="2:8" x14ac:dyDescent="0.3">
      <c r="B112" s="7">
        <v>46338</v>
      </c>
      <c r="C112" s="8" t="str">
        <v>Thu</v>
      </c>
      <c r="D112" s="8">
        <v>16</v>
      </c>
      <c r="E112" s="8" t="b">
        <v>1</v>
      </c>
      <c r="F112" s="8" t="str">
        <v/>
      </c>
      <c r="G112" s="8" t="str">
        <v/>
      </c>
      <c r="H112" s="9" t="str">
        <v/>
      </c>
    </row>
    <row r="113" spans="2:8" x14ac:dyDescent="0.3">
      <c r="B113" s="10">
        <v>46339</v>
      </c>
      <c r="C113" s="11" t="str">
        <v>Fri</v>
      </c>
      <c r="D113" s="11">
        <v>16</v>
      </c>
      <c r="E113" s="8" t="b">
        <v>1</v>
      </c>
      <c r="F113" s="11" t="str">
        <v/>
      </c>
      <c r="G113" s="11" t="str">
        <v/>
      </c>
      <c r="H113" s="12" t="str">
        <v/>
      </c>
    </row>
    <row r="114" spans="2:8" x14ac:dyDescent="0.3">
      <c r="B114" s="7">
        <v>46340</v>
      </c>
      <c r="C114" s="8" t="str">
        <v>Sat</v>
      </c>
      <c r="D114" s="8">
        <v>16</v>
      </c>
      <c r="E114" s="8" t="b">
        <v>0</v>
      </c>
      <c r="F114" s="8" t="str">
        <v/>
      </c>
      <c r="G114" s="8" t="str">
        <v/>
      </c>
      <c r="H114" s="9" t="str">
        <v/>
      </c>
    </row>
    <row r="115" spans="2:8" x14ac:dyDescent="0.3">
      <c r="B115" s="10">
        <v>46341</v>
      </c>
      <c r="C115" s="11" t="str">
        <v>Sun</v>
      </c>
      <c r="D115" s="11">
        <v>16</v>
      </c>
      <c r="E115" s="8" t="b">
        <v>0</v>
      </c>
      <c r="F115" s="11" t="str">
        <v/>
      </c>
      <c r="G115" s="11" t="str">
        <v/>
      </c>
      <c r="H115" s="12" t="str">
        <v/>
      </c>
    </row>
    <row r="116" spans="2:8" x14ac:dyDescent="0.3">
      <c r="B116" s="7">
        <v>46342</v>
      </c>
      <c r="C116" s="8" t="str">
        <v>Mon</v>
      </c>
      <c r="D116" s="8">
        <v>17</v>
      </c>
      <c r="E116" s="8" t="b">
        <v>1</v>
      </c>
      <c r="F116" s="8" t="str">
        <v/>
      </c>
      <c r="G116" s="8" t="str">
        <v/>
      </c>
      <c r="H116" s="9" t="str">
        <v/>
      </c>
    </row>
    <row r="117" spans="2:8" x14ac:dyDescent="0.3">
      <c r="B117" s="10">
        <v>46343</v>
      </c>
      <c r="C117" s="11" t="str">
        <v>Tue</v>
      </c>
      <c r="D117" s="11">
        <v>17</v>
      </c>
      <c r="E117" s="8" t="b">
        <v>1</v>
      </c>
      <c r="F117" s="11" t="str">
        <v/>
      </c>
      <c r="G117" s="11" t="str">
        <v/>
      </c>
      <c r="H117" s="12" t="str">
        <v/>
      </c>
    </row>
    <row r="118" spans="2:8" x14ac:dyDescent="0.3">
      <c r="B118" s="7">
        <v>46344</v>
      </c>
      <c r="C118" s="8" t="str">
        <v>Wed</v>
      </c>
      <c r="D118" s="8">
        <v>17</v>
      </c>
      <c r="E118" s="8" t="b">
        <v>1</v>
      </c>
      <c r="F118" s="8" t="str">
        <v/>
      </c>
      <c r="G118" s="8" t="str">
        <v/>
      </c>
      <c r="H118" s="9" t="str">
        <v/>
      </c>
    </row>
    <row r="119" spans="2:8" x14ac:dyDescent="0.3">
      <c r="B119" s="10">
        <v>46345</v>
      </c>
      <c r="C119" s="11" t="str">
        <v>Thu</v>
      </c>
      <c r="D119" s="11">
        <v>17</v>
      </c>
      <c r="E119" s="8" t="b">
        <v>1</v>
      </c>
      <c r="F119" s="11" t="str">
        <v/>
      </c>
      <c r="G119" s="11" t="str">
        <v/>
      </c>
      <c r="H119" s="12" t="str">
        <v/>
      </c>
    </row>
    <row r="120" spans="2:8" x14ac:dyDescent="0.3">
      <c r="B120" s="7">
        <v>46346</v>
      </c>
      <c r="C120" s="8" t="str">
        <v>Fri</v>
      </c>
      <c r="D120" s="8">
        <v>17</v>
      </c>
      <c r="E120" s="8" t="b">
        <v>1</v>
      </c>
      <c r="F120" s="8" t="str">
        <v/>
      </c>
      <c r="G120" s="8" t="str">
        <v/>
      </c>
      <c r="H120" s="9" t="str">
        <v/>
      </c>
    </row>
    <row r="121" spans="2:8" x14ac:dyDescent="0.3">
      <c r="B121" s="10">
        <v>46347</v>
      </c>
      <c r="C121" s="11" t="str">
        <v>Sat</v>
      </c>
      <c r="D121" s="11">
        <v>17</v>
      </c>
      <c r="E121" s="8" t="b">
        <v>0</v>
      </c>
      <c r="F121" s="11" t="str">
        <v/>
      </c>
      <c r="G121" s="11" t="str">
        <v/>
      </c>
      <c r="H121" s="12" t="str">
        <v/>
      </c>
    </row>
    <row r="122" spans="2:8" x14ac:dyDescent="0.3">
      <c r="B122" s="7">
        <v>46348</v>
      </c>
      <c r="C122" s="8" t="str">
        <v>Sun</v>
      </c>
      <c r="D122" s="8">
        <v>17</v>
      </c>
      <c r="E122" s="8" t="b">
        <v>0</v>
      </c>
      <c r="F122" s="8" t="str">
        <v/>
      </c>
      <c r="G122" s="8" t="str">
        <v/>
      </c>
      <c r="H122" s="9" t="str">
        <v/>
      </c>
    </row>
    <row r="123" spans="2:8" x14ac:dyDescent="0.3">
      <c r="B123" s="10">
        <v>46349</v>
      </c>
      <c r="C123" s="11" t="str">
        <v>Mon</v>
      </c>
      <c r="D123" s="11">
        <v>18</v>
      </c>
      <c r="E123" s="8" t="b">
        <v>1</v>
      </c>
      <c r="F123" s="11" t="str">
        <v/>
      </c>
      <c r="G123" s="11" t="str">
        <v/>
      </c>
      <c r="H123" s="12" t="str">
        <v/>
      </c>
    </row>
    <row r="124" spans="2:8" x14ac:dyDescent="0.3">
      <c r="B124" s="7">
        <v>46350</v>
      </c>
      <c r="C124" s="8" t="str">
        <v>Tue</v>
      </c>
      <c r="D124" s="8">
        <v>18</v>
      </c>
      <c r="E124" s="8" t="b">
        <v>0</v>
      </c>
      <c r="F124" s="8" t="str">
        <v>Birthday of Shri Guru Nanak Dev Ji</v>
      </c>
      <c r="G124" s="8" t="str">
        <v/>
      </c>
      <c r="H124" s="9" t="str">
        <v/>
      </c>
    </row>
    <row r="125" spans="2:8" x14ac:dyDescent="0.3">
      <c r="B125" s="10">
        <v>46351</v>
      </c>
      <c r="C125" s="11" t="str">
        <v>Wed</v>
      </c>
      <c r="D125" s="11">
        <v>18</v>
      </c>
      <c r="E125" s="8" t="b">
        <v>1</v>
      </c>
      <c r="F125" s="11" t="str">
        <v/>
      </c>
      <c r="G125" s="11" t="str">
        <v/>
      </c>
      <c r="H125" s="12" t="str">
        <v/>
      </c>
    </row>
    <row r="126" spans="2:8" x14ac:dyDescent="0.3">
      <c r="B126" s="7">
        <v>46352</v>
      </c>
      <c r="C126" s="8" t="str">
        <v>Thu</v>
      </c>
      <c r="D126" s="8">
        <v>18</v>
      </c>
      <c r="E126" s="8" t="b">
        <v>1</v>
      </c>
      <c r="F126" s="8" t="str">
        <v/>
      </c>
      <c r="G126" s="8" t="str">
        <v>Exam</v>
      </c>
      <c r="H126" s="9" t="str">
        <v>End-Sem Exams</v>
      </c>
    </row>
    <row r="127" spans="2:8" x14ac:dyDescent="0.3">
      <c r="B127" s="10">
        <v>46353</v>
      </c>
      <c r="C127" s="11" t="str">
        <v>Fri</v>
      </c>
      <c r="D127" s="11">
        <v>18</v>
      </c>
      <c r="E127" s="8" t="b">
        <v>1</v>
      </c>
      <c r="F127" s="11" t="str">
        <v/>
      </c>
      <c r="G127" s="11" t="str">
        <v>Exam</v>
      </c>
      <c r="H127" s="12" t="str">
        <v>End-Sem Exams</v>
      </c>
    </row>
    <row r="128" spans="2:8" x14ac:dyDescent="0.3">
      <c r="B128" s="7">
        <v>46354</v>
      </c>
      <c r="C128" s="8" t="str">
        <v>Sat</v>
      </c>
      <c r="D128" s="8">
        <v>18</v>
      </c>
      <c r="E128" s="8" t="b">
        <v>0</v>
      </c>
      <c r="F128" s="8" t="str">
        <v/>
      </c>
      <c r="G128" s="8" t="str">
        <v>Exam</v>
      </c>
      <c r="H128" s="9" t="str">
        <v>End-Sem Exams</v>
      </c>
    </row>
    <row r="129" spans="2:8" x14ac:dyDescent="0.3">
      <c r="B129" s="10">
        <v>46355</v>
      </c>
      <c r="C129" s="11" t="str">
        <v>Sun</v>
      </c>
      <c r="D129" s="11">
        <v>18</v>
      </c>
      <c r="E129" s="8" t="b">
        <v>0</v>
      </c>
      <c r="F129" s="11" t="str">
        <v/>
      </c>
      <c r="G129" s="11" t="str">
        <v>Exam</v>
      </c>
      <c r="H129" s="12" t="str">
        <v>End-Sem Exams</v>
      </c>
    </row>
    <row r="130" spans="2:8" x14ac:dyDescent="0.3">
      <c r="B130" s="7">
        <v>46356</v>
      </c>
      <c r="C130" s="8" t="str">
        <v>Mon</v>
      </c>
      <c r="D130" s="8">
        <v>19</v>
      </c>
      <c r="E130" s="8" t="b">
        <v>1</v>
      </c>
      <c r="F130" s="8" t="str">
        <v/>
      </c>
      <c r="G130" s="8" t="str">
        <v>Exam</v>
      </c>
      <c r="H130" s="9" t="str">
        <v>End-Sem Exams</v>
      </c>
    </row>
    <row r="131" spans="2:8" x14ac:dyDescent="0.3">
      <c r="B131" s="10">
        <v>46357</v>
      </c>
      <c r="C131" s="11" t="str">
        <v>Tue</v>
      </c>
      <c r="D131" s="11">
        <v>19</v>
      </c>
      <c r="E131" s="8" t="b">
        <v>1</v>
      </c>
      <c r="F131" s="11" t="str">
        <v/>
      </c>
      <c r="G131" s="11" t="str">
        <v>Exam</v>
      </c>
      <c r="H131" s="12" t="str">
        <v>End-Sem Exams</v>
      </c>
    </row>
    <row r="132" spans="2:8" x14ac:dyDescent="0.3">
      <c r="B132" s="7">
        <v>46358</v>
      </c>
      <c r="C132" s="8" t="str">
        <v>Wed</v>
      </c>
      <c r="D132" s="8">
        <v>19</v>
      </c>
      <c r="E132" s="8" t="b">
        <v>1</v>
      </c>
      <c r="F132" s="8" t="str">
        <v/>
      </c>
      <c r="G132" s="8" t="str">
        <v>Exam</v>
      </c>
      <c r="H132" s="9" t="str">
        <v>End-Sem Exams</v>
      </c>
    </row>
    <row r="133" spans="2:8" x14ac:dyDescent="0.3">
      <c r="B133" s="10">
        <v>46359</v>
      </c>
      <c r="C133" s="11" t="str">
        <v>Thu</v>
      </c>
      <c r="D133" s="11">
        <v>19</v>
      </c>
      <c r="E133" s="8" t="b">
        <v>1</v>
      </c>
      <c r="F133" s="11" t="str">
        <v/>
      </c>
      <c r="G133" s="11" t="str">
        <v>Exam</v>
      </c>
      <c r="H133" s="12" t="str">
        <v>End-Sem Exams</v>
      </c>
    </row>
    <row r="134" spans="2:8" x14ac:dyDescent="0.3">
      <c r="B134" s="7">
        <v>46360</v>
      </c>
      <c r="C134" s="8" t="str">
        <v>Fri</v>
      </c>
      <c r="D134" s="8">
        <v>19</v>
      </c>
      <c r="E134" s="8" t="b">
        <v>1</v>
      </c>
      <c r="F134" s="8" t="str">
        <v/>
      </c>
      <c r="G134" s="8" t="str">
        <v>Exam</v>
      </c>
      <c r="H134" s="9" t="str">
        <v>End-Sem Exams</v>
      </c>
    </row>
    <row r="135" spans="2:8" x14ac:dyDescent="0.3">
      <c r="B135" s="10">
        <v>46361</v>
      </c>
      <c r="C135" s="11" t="str">
        <v>Sat</v>
      </c>
      <c r="D135" s="11">
        <v>19</v>
      </c>
      <c r="E135" s="8" t="b">
        <v>0</v>
      </c>
      <c r="F135" s="11" t="str">
        <v/>
      </c>
      <c r="G135" s="11" t="str">
        <v>Exam</v>
      </c>
      <c r="H135" s="12" t="str">
        <v>End-Sem Exams</v>
      </c>
    </row>
    <row r="136" spans="2:8" x14ac:dyDescent="0.3">
      <c r="B136" s="7">
        <v>46362</v>
      </c>
      <c r="C136" s="8" t="str">
        <v>Sun</v>
      </c>
      <c r="D136" s="8">
        <v>19</v>
      </c>
      <c r="E136" s="8" t="b">
        <v>0</v>
      </c>
      <c r="F136" s="8" t="str">
        <v>Pre-Winter Break Day1</v>
      </c>
      <c r="G136" s="8" t="str">
        <v/>
      </c>
      <c r="H136" s="9" t="str">
        <v/>
      </c>
    </row>
    <row r="137" spans="2:8" x14ac:dyDescent="0.3">
      <c r="B137" s="10">
        <v>46363</v>
      </c>
      <c r="C137" s="11" t="str">
        <v>Mon</v>
      </c>
      <c r="D137" s="11">
        <v>20</v>
      </c>
      <c r="E137" s="8" t="b">
        <v>0</v>
      </c>
      <c r="F137" s="11" t="str">
        <v>Pre-Winter Break Day2</v>
      </c>
      <c r="G137" s="11" t="str">
        <v/>
      </c>
      <c r="H137" s="12" t="str">
        <v/>
      </c>
    </row>
    <row r="138" spans="2:8" x14ac:dyDescent="0.3">
      <c r="B138" s="7">
        <v>46364</v>
      </c>
      <c r="C138" s="8" t="str">
        <v>Tue</v>
      </c>
      <c r="D138" s="8">
        <v>20</v>
      </c>
      <c r="E138" s="8" t="b">
        <v>0</v>
      </c>
      <c r="F138" s="8" t="str">
        <v>Pre-Winter Break Day3</v>
      </c>
      <c r="G138" s="8" t="str">
        <v/>
      </c>
      <c r="H138" s="9" t="str">
        <v/>
      </c>
    </row>
    <row r="139" spans="2:8" x14ac:dyDescent="0.3">
      <c r="B139" s="10">
        <v>46365</v>
      </c>
      <c r="C139" s="11" t="str">
        <v>Wed</v>
      </c>
      <c r="D139" s="11">
        <v>20</v>
      </c>
      <c r="E139" s="8" t="b">
        <v>0</v>
      </c>
      <c r="F139" s="11" t="str">
        <v>Pre-Winter Break Day4</v>
      </c>
      <c r="G139" s="11" t="str">
        <v/>
      </c>
      <c r="H139" s="12" t="str">
        <v/>
      </c>
    </row>
    <row r="140" spans="2:8" x14ac:dyDescent="0.3">
      <c r="B140" s="13">
        <v>46366</v>
      </c>
      <c r="C140" s="2" t="str">
        <v>Thu</v>
      </c>
      <c r="D140" s="2">
        <v>20</v>
      </c>
      <c r="E140" s="8" t="b">
        <v>0</v>
      </c>
      <c r="F140" s="2" t="str">
        <v>Pre-Winter Break Day5</v>
      </c>
      <c r="G140" s="2" t="str">
        <v/>
      </c>
      <c r="H140" s="3" t="str">
        <v/>
      </c>
    </row>
  </sheetData>
  <conditionalFormatting sqref="D4:D140">
    <cfRule type="expression" dxfId="0" priority="1">
      <formula>$D4&lt;&gt;$D5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575A-2312-4767-8658-A29F36750741}">
  <sheetPr codeName="Sheet3"/>
  <dimension ref="B1:D24"/>
  <sheetViews>
    <sheetView workbookViewId="0">
      <selection activeCell="F14" sqref="F14"/>
    </sheetView>
  </sheetViews>
  <sheetFormatPr defaultRowHeight="14.4" x14ac:dyDescent="0.3"/>
  <cols>
    <col min="2" max="2" width="23.44140625" customWidth="1"/>
    <col min="3" max="3" width="19.109375" customWidth="1"/>
    <col min="4" max="4" width="24.109375" customWidth="1"/>
    <col min="5" max="5" width="12.44140625" customWidth="1"/>
  </cols>
  <sheetData>
    <row r="1" spans="2:4" x14ac:dyDescent="0.3">
      <c r="D1" s="39"/>
    </row>
    <row r="2" spans="2:4" x14ac:dyDescent="0.3">
      <c r="B2" s="14" t="s">
        <v>19</v>
      </c>
      <c r="C2" s="14" t="s">
        <v>0</v>
      </c>
      <c r="D2" s="40"/>
    </row>
    <row r="3" spans="2:4" x14ac:dyDescent="0.3">
      <c r="B3" s="15" t="s">
        <v>11</v>
      </c>
      <c r="C3" s="19">
        <v>46249</v>
      </c>
      <c r="D3" s="41"/>
    </row>
    <row r="4" spans="2:4" x14ac:dyDescent="0.3">
      <c r="B4" s="15" t="s">
        <v>13</v>
      </c>
      <c r="C4" s="19">
        <v>46269</v>
      </c>
      <c r="D4" s="17"/>
    </row>
    <row r="5" spans="2:4" ht="27.6" x14ac:dyDescent="0.3">
      <c r="B5" s="15" t="s">
        <v>15</v>
      </c>
      <c r="C5" s="19">
        <v>46297</v>
      </c>
      <c r="D5" s="17"/>
    </row>
    <row r="6" spans="2:4" x14ac:dyDescent="0.3">
      <c r="B6" s="15" t="s">
        <v>17</v>
      </c>
      <c r="C6" s="19">
        <v>46315</v>
      </c>
      <c r="D6" s="17"/>
    </row>
    <row r="7" spans="2:4" x14ac:dyDescent="0.3">
      <c r="B7" s="15" t="s">
        <v>12</v>
      </c>
      <c r="C7" s="19">
        <v>46321</v>
      </c>
      <c r="D7" s="17"/>
    </row>
    <row r="8" spans="2:4" x14ac:dyDescent="0.3">
      <c r="B8" s="15" t="s">
        <v>14</v>
      </c>
      <c r="C8" s="19">
        <v>46334</v>
      </c>
      <c r="D8" s="17"/>
    </row>
    <row r="9" spans="2:4" ht="27.6" x14ac:dyDescent="0.3">
      <c r="B9" s="15" t="s">
        <v>16</v>
      </c>
      <c r="C9" s="19">
        <v>46350</v>
      </c>
      <c r="D9" s="17"/>
    </row>
    <row r="10" spans="2:4" x14ac:dyDescent="0.3">
      <c r="B10" s="15" t="s">
        <v>18</v>
      </c>
      <c r="C10" s="19">
        <v>46381</v>
      </c>
      <c r="D10" s="17"/>
    </row>
    <row r="11" spans="2:4" x14ac:dyDescent="0.3">
      <c r="B11" s="15" t="s">
        <v>20</v>
      </c>
      <c r="C11" s="19">
        <v>46332</v>
      </c>
      <c r="D11" s="17"/>
    </row>
    <row r="12" spans="2:4" x14ac:dyDescent="0.3">
      <c r="B12" s="15" t="s">
        <v>21</v>
      </c>
      <c r="C12" s="19">
        <v>46333</v>
      </c>
      <c r="D12" s="17"/>
    </row>
    <row r="13" spans="2:4" x14ac:dyDescent="0.3">
      <c r="B13" s="15" t="s">
        <v>22</v>
      </c>
      <c r="C13" s="19">
        <v>46334</v>
      </c>
      <c r="D13" s="17"/>
    </row>
    <row r="14" spans="2:4" x14ac:dyDescent="0.3">
      <c r="B14" s="15" t="s">
        <v>23</v>
      </c>
      <c r="C14" s="19">
        <v>46335</v>
      </c>
      <c r="D14" s="17"/>
    </row>
    <row r="15" spans="2:4" x14ac:dyDescent="0.3">
      <c r="B15" s="15" t="s">
        <v>24</v>
      </c>
      <c r="C15" s="19">
        <v>46336</v>
      </c>
      <c r="D15" s="17"/>
    </row>
    <row r="16" spans="2:4" ht="21" customHeight="1" x14ac:dyDescent="0.3">
      <c r="B16" s="15" t="s">
        <v>25</v>
      </c>
      <c r="C16" s="19">
        <v>46337</v>
      </c>
      <c r="D16" s="17"/>
    </row>
    <row r="17" spans="2:4" x14ac:dyDescent="0.3">
      <c r="B17" s="15" t="s">
        <v>26</v>
      </c>
      <c r="C17" s="19">
        <v>46362</v>
      </c>
      <c r="D17" s="17"/>
    </row>
    <row r="18" spans="2:4" x14ac:dyDescent="0.3">
      <c r="B18" s="15" t="s">
        <v>27</v>
      </c>
      <c r="C18" s="19">
        <v>46363</v>
      </c>
      <c r="D18" s="17"/>
    </row>
    <row r="19" spans="2:4" x14ac:dyDescent="0.3">
      <c r="B19" s="15" t="s">
        <v>28</v>
      </c>
      <c r="C19" s="19">
        <v>46364</v>
      </c>
      <c r="D19" s="17"/>
    </row>
    <row r="20" spans="2:4" x14ac:dyDescent="0.3">
      <c r="B20" s="15" t="s">
        <v>29</v>
      </c>
      <c r="C20" s="19">
        <v>46365</v>
      </c>
      <c r="D20" s="17"/>
    </row>
    <row r="21" spans="2:4" x14ac:dyDescent="0.3">
      <c r="B21" s="15" t="s">
        <v>30</v>
      </c>
      <c r="C21" s="19">
        <v>46366</v>
      </c>
      <c r="D21" s="17"/>
    </row>
    <row r="22" spans="2:4" x14ac:dyDescent="0.3">
      <c r="B22" s="15"/>
      <c r="C22" s="16"/>
      <c r="D22" s="17"/>
    </row>
    <row r="23" spans="2:4" x14ac:dyDescent="0.3">
      <c r="B23" s="15"/>
      <c r="C23" s="16"/>
      <c r="D23" s="17"/>
    </row>
    <row r="24" spans="2:4" x14ac:dyDescent="0.3">
      <c r="B24" s="15"/>
      <c r="C24" s="16"/>
      <c r="D24" s="1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572F-8DB9-4B92-90FE-FFFF8D4492B8}">
  <sheetPr codeName="Sheet2"/>
  <dimension ref="B2:D23"/>
  <sheetViews>
    <sheetView workbookViewId="0">
      <selection activeCell="I12" sqref="I12"/>
    </sheetView>
  </sheetViews>
  <sheetFormatPr defaultRowHeight="14.4" x14ac:dyDescent="0.3"/>
  <cols>
    <col min="3" max="3" width="16.44140625" customWidth="1"/>
    <col min="4" max="4" width="19.109375" customWidth="1"/>
  </cols>
  <sheetData>
    <row r="2" spans="2:4" ht="15.6" x14ac:dyDescent="0.3">
      <c r="B2" s="34" t="s">
        <v>31</v>
      </c>
      <c r="C2" s="34" t="s">
        <v>4</v>
      </c>
      <c r="D2" s="34" t="s">
        <v>37</v>
      </c>
    </row>
    <row r="3" spans="2:4" ht="15.6" x14ac:dyDescent="0.3">
      <c r="B3" s="38">
        <v>46296</v>
      </c>
      <c r="C3" s="37" t="s">
        <v>32</v>
      </c>
      <c r="D3" s="37" t="s">
        <v>38</v>
      </c>
    </row>
    <row r="4" spans="2:4" ht="15.6" x14ac:dyDescent="0.3">
      <c r="B4" s="38">
        <v>46297</v>
      </c>
      <c r="C4" s="37" t="s">
        <v>32</v>
      </c>
      <c r="D4" s="37" t="s">
        <v>38</v>
      </c>
    </row>
    <row r="5" spans="2:4" ht="15.6" x14ac:dyDescent="0.3">
      <c r="B5" s="38">
        <v>46298</v>
      </c>
      <c r="C5" s="37" t="s">
        <v>32</v>
      </c>
      <c r="D5" s="37" t="s">
        <v>38</v>
      </c>
    </row>
    <row r="6" spans="2:4" ht="15.6" x14ac:dyDescent="0.3">
      <c r="B6" s="38">
        <v>46299</v>
      </c>
      <c r="C6" s="37" t="s">
        <v>32</v>
      </c>
      <c r="D6" s="37" t="s">
        <v>38</v>
      </c>
    </row>
    <row r="7" spans="2:4" ht="15.6" x14ac:dyDescent="0.3">
      <c r="B7" s="38">
        <v>46300</v>
      </c>
      <c r="C7" s="37" t="s">
        <v>32</v>
      </c>
      <c r="D7" s="37" t="s">
        <v>38</v>
      </c>
    </row>
    <row r="8" spans="2:4" ht="15.6" x14ac:dyDescent="0.3">
      <c r="B8" s="38">
        <v>46301</v>
      </c>
      <c r="C8" s="37" t="s">
        <v>32</v>
      </c>
      <c r="D8" s="37" t="s">
        <v>38</v>
      </c>
    </row>
    <row r="9" spans="2:4" ht="15.6" x14ac:dyDescent="0.3">
      <c r="B9" s="38">
        <v>46302</v>
      </c>
      <c r="C9" s="37" t="s">
        <v>32</v>
      </c>
      <c r="D9" s="37" t="s">
        <v>38</v>
      </c>
    </row>
    <row r="10" spans="2:4" ht="15.6" x14ac:dyDescent="0.3">
      <c r="B10" s="38">
        <v>46303</v>
      </c>
      <c r="C10" s="37" t="s">
        <v>32</v>
      </c>
      <c r="D10" s="37" t="s">
        <v>38</v>
      </c>
    </row>
    <row r="11" spans="2:4" ht="15.6" x14ac:dyDescent="0.3">
      <c r="B11" s="38">
        <v>46325</v>
      </c>
      <c r="C11" s="37" t="s">
        <v>33</v>
      </c>
      <c r="D11" s="37" t="s">
        <v>39</v>
      </c>
    </row>
    <row r="12" spans="2:4" ht="15.6" x14ac:dyDescent="0.3">
      <c r="B12" s="38">
        <v>46326</v>
      </c>
      <c r="C12" s="37" t="s">
        <v>34</v>
      </c>
      <c r="D12" s="37" t="s">
        <v>39</v>
      </c>
    </row>
    <row r="13" spans="2:4" ht="15.6" x14ac:dyDescent="0.3">
      <c r="B13" s="38">
        <v>46327</v>
      </c>
      <c r="C13" s="37" t="s">
        <v>35</v>
      </c>
      <c r="D13" s="37" t="s">
        <v>39</v>
      </c>
    </row>
    <row r="14" spans="2:4" ht="15.6" x14ac:dyDescent="0.3">
      <c r="B14" s="38">
        <v>46352</v>
      </c>
      <c r="C14" s="37" t="s">
        <v>36</v>
      </c>
      <c r="D14" s="37" t="s">
        <v>38</v>
      </c>
    </row>
    <row r="15" spans="2:4" ht="15.6" x14ac:dyDescent="0.3">
      <c r="B15" s="38">
        <v>46353</v>
      </c>
      <c r="C15" s="37" t="s">
        <v>36</v>
      </c>
      <c r="D15" s="37" t="s">
        <v>38</v>
      </c>
    </row>
    <row r="16" spans="2:4" ht="15.6" x14ac:dyDescent="0.3">
      <c r="B16" s="38">
        <v>46354</v>
      </c>
      <c r="C16" s="37" t="s">
        <v>36</v>
      </c>
      <c r="D16" s="37" t="s">
        <v>38</v>
      </c>
    </row>
    <row r="17" spans="2:4" ht="15.6" x14ac:dyDescent="0.3">
      <c r="B17" s="38">
        <v>46355</v>
      </c>
      <c r="C17" s="37" t="s">
        <v>36</v>
      </c>
      <c r="D17" s="37" t="s">
        <v>38</v>
      </c>
    </row>
    <row r="18" spans="2:4" ht="15.6" x14ac:dyDescent="0.3">
      <c r="B18" s="38">
        <v>46356</v>
      </c>
      <c r="C18" s="37" t="s">
        <v>36</v>
      </c>
      <c r="D18" s="37" t="s">
        <v>38</v>
      </c>
    </row>
    <row r="19" spans="2:4" ht="15.6" x14ac:dyDescent="0.3">
      <c r="B19" s="38">
        <v>46357</v>
      </c>
      <c r="C19" s="37" t="s">
        <v>36</v>
      </c>
      <c r="D19" s="37" t="s">
        <v>38</v>
      </c>
    </row>
    <row r="20" spans="2:4" ht="15.6" x14ac:dyDescent="0.3">
      <c r="B20" s="38">
        <v>46358</v>
      </c>
      <c r="C20" s="37" t="s">
        <v>36</v>
      </c>
      <c r="D20" s="37" t="s">
        <v>38</v>
      </c>
    </row>
    <row r="21" spans="2:4" ht="15.6" x14ac:dyDescent="0.3">
      <c r="B21" s="38">
        <v>46359</v>
      </c>
      <c r="C21" s="37" t="s">
        <v>36</v>
      </c>
      <c r="D21" s="37" t="s">
        <v>38</v>
      </c>
    </row>
    <row r="22" spans="2:4" ht="15.6" x14ac:dyDescent="0.3">
      <c r="B22" s="38">
        <v>46360</v>
      </c>
      <c r="C22" s="37" t="s">
        <v>36</v>
      </c>
      <c r="D22" s="37" t="s">
        <v>38</v>
      </c>
    </row>
    <row r="23" spans="2:4" ht="15.6" x14ac:dyDescent="0.3">
      <c r="B23" s="38">
        <v>46361</v>
      </c>
      <c r="C23" s="37" t="s">
        <v>36</v>
      </c>
      <c r="D23" s="37" t="s">
        <v>38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896A-F093-42E3-A8E5-761AAE6BB000}">
  <sheetPr codeName="Sheet4"/>
  <dimension ref="B2:F8"/>
  <sheetViews>
    <sheetView workbookViewId="0">
      <selection activeCell="C5" sqref="C5"/>
    </sheetView>
  </sheetViews>
  <sheetFormatPr defaultRowHeight="14.4" x14ac:dyDescent="0.3"/>
  <cols>
    <col min="2" max="2" width="15.77734375" customWidth="1"/>
    <col min="3" max="3" width="12" bestFit="1" customWidth="1"/>
    <col min="5" max="5" width="12" customWidth="1"/>
    <col min="6" max="6" width="16" customWidth="1"/>
  </cols>
  <sheetData>
    <row r="2" spans="2:6" ht="15.6" x14ac:dyDescent="0.3">
      <c r="B2" s="33" t="s">
        <v>7</v>
      </c>
      <c r="C2" s="33" t="s">
        <v>8</v>
      </c>
      <c r="D2" s="34"/>
      <c r="E2" s="34" t="s">
        <v>54</v>
      </c>
      <c r="F2" s="34" t="s">
        <v>61</v>
      </c>
    </row>
    <row r="3" spans="2:6" ht="15.6" x14ac:dyDescent="0.3">
      <c r="B3" s="35" t="s">
        <v>6</v>
      </c>
      <c r="C3" s="36">
        <v>46230</v>
      </c>
      <c r="D3" s="34"/>
      <c r="E3" s="34" t="s">
        <v>55</v>
      </c>
      <c r="F3" s="34">
        <v>7</v>
      </c>
    </row>
    <row r="4" spans="2:6" ht="15.6" x14ac:dyDescent="0.3">
      <c r="B4" s="35" t="s">
        <v>5</v>
      </c>
      <c r="C4" s="36">
        <v>46366</v>
      </c>
      <c r="D4" s="34"/>
      <c r="E4" s="34" t="s">
        <v>56</v>
      </c>
      <c r="F4" s="34">
        <v>8</v>
      </c>
    </row>
    <row r="5" spans="2:6" ht="15.6" x14ac:dyDescent="0.3">
      <c r="B5" s="34"/>
      <c r="C5" s="34"/>
      <c r="D5" s="34"/>
      <c r="E5" s="34" t="s">
        <v>57</v>
      </c>
      <c r="F5" s="34">
        <v>9</v>
      </c>
    </row>
    <row r="6" spans="2:6" ht="15.6" x14ac:dyDescent="0.3">
      <c r="B6" s="34"/>
      <c r="C6" s="34"/>
      <c r="D6" s="34"/>
      <c r="E6" s="34" t="s">
        <v>58</v>
      </c>
      <c r="F6" s="34">
        <v>10</v>
      </c>
    </row>
    <row r="7" spans="2:6" ht="15.6" x14ac:dyDescent="0.3">
      <c r="B7" s="34"/>
      <c r="C7" s="34"/>
      <c r="D7" s="34"/>
      <c r="E7" s="34" t="s">
        <v>59</v>
      </c>
      <c r="F7" s="34">
        <v>11</v>
      </c>
    </row>
    <row r="8" spans="2:6" ht="15.6" x14ac:dyDescent="0.3">
      <c r="B8" s="34"/>
      <c r="C8" s="34"/>
      <c r="D8" s="34"/>
      <c r="E8" s="34" t="s">
        <v>60</v>
      </c>
      <c r="F8" s="34">
        <v>12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DASHBOARD</vt:lpstr>
      <vt:lpstr>Monthly Planner</vt:lpstr>
      <vt:lpstr>Main Database</vt:lpstr>
      <vt:lpstr>Non-Working Days</vt:lpstr>
      <vt:lpstr>Events</vt:lpstr>
      <vt:lpstr>Setting sheet</vt:lpstr>
      <vt:lpstr>MonthList</vt:lpstr>
      <vt:lpstr>nrSemesterEnd</vt:lpstr>
      <vt:lpstr>nrsemesterstart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Shourya Gupta</dc:creator>
  <cp:lastModifiedBy>Shourya Gupta</cp:lastModifiedBy>
  <dcterms:created xsi:type="dcterms:W3CDTF">2015-06-05T18:17:20Z</dcterms:created>
  <dcterms:modified xsi:type="dcterms:W3CDTF">2026-08-02T13:58:30Z</dcterms:modified>
</cp:coreProperties>
</file>